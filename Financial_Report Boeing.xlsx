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jacobcurrier/Desktop/"/>
    </mc:Choice>
  </mc:AlternateContent>
  <xr:revisionPtr revIDLastSave="0" documentId="8_{EEE6D99E-CFB0-C341-ABC1-9E49C0FA1AE6}" xr6:coauthVersionLast="47" xr6:coauthVersionMax="47" xr10:uidLastSave="{00000000-0000-0000-0000-000000000000}"/>
  <bookViews>
    <workbookView xWindow="0" yWindow="500" windowWidth="20740" windowHeight="11040" activeTab="21" xr2:uid="{00000000-000D-0000-FFFF-FFFF00000000}"/>
  </bookViews>
  <sheets>
    <sheet name="Cover" sheetId="1" r:id="rId1"/>
    <sheet name="Audit Information" sheetId="2" r:id="rId2"/>
    <sheet name="Consolidated Statements of Oper" sheetId="3" r:id="rId3"/>
    <sheet name=" Module 11" sheetId="147" r:id="rId4"/>
    <sheet name="Consolidated Statements of Comp" sheetId="4" r:id="rId5"/>
    <sheet name="Consolidated Statements of Co_2" sheetId="5" r:id="rId6"/>
    <sheet name="module 4" sheetId="150" r:id="rId7"/>
    <sheet name="Credit Ratings" sheetId="151" r:id="rId8"/>
    <sheet name="module 3 answers" sheetId="145" r:id="rId9"/>
    <sheet name="Module 6 answers" sheetId="146" r:id="rId10"/>
    <sheet name="module 15" sheetId="152" r:id="rId11"/>
    <sheet name="Consolidated Statements of Fina" sheetId="6" r:id="rId12"/>
    <sheet name="Consolidated Statements of Fi_2" sheetId="7" r:id="rId13"/>
    <sheet name="Consolidated Statements of Cash" sheetId="8" r:id="rId14"/>
    <sheet name="Consolidated Statements of Equi" sheetId="9" r:id="rId15"/>
    <sheet name="Consolidated Statements of Eq_2" sheetId="10" r:id="rId16"/>
    <sheet name="Summary of Business Segment Dat" sheetId="11" r:id="rId17"/>
    <sheet name="Summary of Significant Accounti" sheetId="12" r:id="rId18"/>
    <sheet name="Goodwill and Acquired Intangibl" sheetId="13" r:id="rId19"/>
    <sheet name="Earnings Per Share" sheetId="14" r:id="rId20"/>
    <sheet name="Income Taxes" sheetId="15" r:id="rId21"/>
    <sheet name="Accounts Receivable, net" sheetId="16" r:id="rId22"/>
    <sheet name="Allowance for Losses on Financi" sheetId="17" r:id="rId23"/>
    <sheet name="Inventories" sheetId="18" r:id="rId24"/>
    <sheet name="Contracts with Customers" sheetId="19" r:id="rId25"/>
    <sheet name="Customer Financing" sheetId="20" r:id="rId26"/>
    <sheet name="Property, Plant and Equipment" sheetId="21" r:id="rId27"/>
    <sheet name="Investments" sheetId="22" r:id="rId28"/>
    <sheet name="Leases" sheetId="23" r:id="rId29"/>
    <sheet name="Liabilities, Commitments and Co" sheetId="24" r:id="rId30"/>
    <sheet name="Arrangements with Off-Balance S" sheetId="25" r:id="rId31"/>
    <sheet name="Debt" sheetId="26" r:id="rId32"/>
    <sheet name="Postretirement Plans" sheetId="27" r:id="rId33"/>
    <sheet name="Share-Based Compensation and Ot" sheetId="28" r:id="rId34"/>
    <sheet name="Shareholders' Equity" sheetId="29" r:id="rId35"/>
    <sheet name="Derivative Financial Instrument" sheetId="30" r:id="rId36"/>
    <sheet name="Fair Value Measurements" sheetId="31" r:id="rId37"/>
    <sheet name="Legal Proceedings" sheetId="32" r:id="rId38"/>
    <sheet name="Segment and Revenue Information" sheetId="33" r:id="rId39"/>
    <sheet name="Subsequent Events" sheetId="34" r:id="rId40"/>
    <sheet name="Pay vs Performance Disclosure" sheetId="35" r:id="rId41"/>
    <sheet name="Insider Trading Arrangements" sheetId="36" r:id="rId42"/>
    <sheet name="Summary of Significant Accoun_2" sheetId="37" r:id="rId43"/>
    <sheet name="Summary of Business Segment D_2" sheetId="38" r:id="rId44"/>
    <sheet name="Summary of Significant Accoun_3" sheetId="39" r:id="rId45"/>
    <sheet name="Goodwill and Acquired Intangi_2" sheetId="40" r:id="rId46"/>
    <sheet name="Earnings Per Share (Tables)" sheetId="41" r:id="rId47"/>
    <sheet name="Income Taxes (Tables)" sheetId="42" r:id="rId48"/>
    <sheet name="Accounts Receivable, net (Table" sheetId="43" r:id="rId49"/>
    <sheet name="Allowance for Losses on Finan_2" sheetId="44" r:id="rId50"/>
    <sheet name="Inventories (Tables)" sheetId="45" r:id="rId51"/>
    <sheet name="Contracts with Customers (Table" sheetId="46" r:id="rId52"/>
    <sheet name="Financing Receivables and Opera" sheetId="47" r:id="rId53"/>
    <sheet name="Property, Plant and Equipment (" sheetId="48" r:id="rId54"/>
    <sheet name="Investments (Tables)" sheetId="49" r:id="rId55"/>
    <sheet name="Leases (Tables)" sheetId="50" r:id="rId56"/>
    <sheet name="Liabilities, Commitments and _2" sheetId="51" r:id="rId57"/>
    <sheet name="Arrangements with Off-Balance_2" sheetId="52" r:id="rId58"/>
    <sheet name="Debt (Tables)" sheetId="53" r:id="rId59"/>
    <sheet name="Postretirement Plans (Tables)" sheetId="54" r:id="rId60"/>
    <sheet name="Share-Based Compensation and _2" sheetId="55" r:id="rId61"/>
    <sheet name="Shareholders' Equity (Tables)" sheetId="56" r:id="rId62"/>
    <sheet name="Derivative Financial Instrume_2" sheetId="57" r:id="rId63"/>
    <sheet name="Fair Value Measurements (Tables" sheetId="58" r:id="rId64"/>
    <sheet name="Segment and Revenue Informati_2" sheetId="59" r:id="rId65"/>
    <sheet name="Summary of Business Segment D_3" sheetId="60" r:id="rId66"/>
    <sheet name="Summary of Significant Accoun_4" sheetId="61" r:id="rId67"/>
    <sheet name="Summary of Significant Accoun_5" sheetId="62" r:id="rId68"/>
    <sheet name="Goodwill and Acquired Intangi_3" sheetId="63" r:id="rId69"/>
    <sheet name="Goodwill and Acquired Intangi_4" sheetId="64" r:id="rId70"/>
    <sheet name="Goodwill and Acquired Intangi_5" sheetId="65" r:id="rId71"/>
    <sheet name="Goodwill and Acquired Intangi_6" sheetId="66" r:id="rId72"/>
    <sheet name="Earnings Per Share - Schedule o" sheetId="67" r:id="rId73"/>
    <sheet name="Earnings Per Share - Schedule_2" sheetId="68" r:id="rId74"/>
    <sheet name="Earnings Per Share - Narrative " sheetId="69" r:id="rId75"/>
    <sheet name="Income Taxes - Components of Ea" sheetId="70" r:id="rId76"/>
    <sheet name="Income Taxes - Schedule of Inco" sheetId="71" r:id="rId77"/>
    <sheet name="Income Taxes - Narrative (Detai" sheetId="72" r:id="rId78"/>
    <sheet name="Income Taxes - Schedule of Effe" sheetId="73" r:id="rId79"/>
    <sheet name="Income Taxes - Significant Comp" sheetId="74" r:id="rId80"/>
    <sheet name="Income Taxes - Net Deferred Tax" sheetId="75" r:id="rId81"/>
    <sheet name="Income Taxes - Schedule of Unre" sheetId="76" r:id="rId82"/>
    <sheet name="Accounts Receivable, net - Sche" sheetId="77" r:id="rId83"/>
    <sheet name="Allowance for Losses on Finan_3" sheetId="78" r:id="rId84"/>
    <sheet name="Inventories - Schedule of Inven" sheetId="79" r:id="rId85"/>
    <sheet name="Inventories - Narrative (Detail" sheetId="80" r:id="rId86"/>
    <sheet name="Contracts with Customers - Narr" sheetId="81" r:id="rId87"/>
    <sheet name="Contracts with Customers - Sche" sheetId="82" r:id="rId88"/>
    <sheet name="Financing Receivables and Ope_2" sheetId="83" r:id="rId89"/>
    <sheet name="Financing Receivables and Ope_3" sheetId="84" r:id="rId90"/>
    <sheet name="Financing Receivables and Ope_4" sheetId="85" r:id="rId91"/>
    <sheet name="Financing Receivables and Ope_5" sheetId="86" r:id="rId92"/>
    <sheet name="Financing Receivables and Ope_6" sheetId="87" r:id="rId93"/>
    <sheet name="Financing Receivables and Ope_7" sheetId="88" r:id="rId94"/>
    <sheet name="Property, Plant and Equipment -" sheetId="89" r:id="rId95"/>
    <sheet name="Property, Plant and Equipment_2" sheetId="90" r:id="rId96"/>
    <sheet name="Investments - Schedule of Inves" sheetId="91" r:id="rId97"/>
    <sheet name="Investments - Narrative (Detail" sheetId="92" r:id="rId98"/>
    <sheet name="Investments - Schedule of Equit" sheetId="93" r:id="rId99"/>
    <sheet name="Leases - Narrative (Details)" sheetId="94" r:id="rId100"/>
    <sheet name="Leases - Schedule of Supplement" sheetId="95" r:id="rId101"/>
    <sheet name="Leases - Schedule of Maturities" sheetId="96" r:id="rId102"/>
    <sheet name="Liabilities, Commitments and _3" sheetId="97" r:id="rId103"/>
    <sheet name="Liabilities, Commitments and _4" sheetId="98" r:id="rId104"/>
    <sheet name="Liabilities, Commitments, and C" sheetId="99" r:id="rId105"/>
    <sheet name="Liabilities, Commitments and _5" sheetId="100" r:id="rId106"/>
    <sheet name="Liabilities, Commitments and _6" sheetId="101" r:id="rId107"/>
    <sheet name="Liabilities, Commitments and _7" sheetId="102" r:id="rId108"/>
    <sheet name="Arrangements with Off-Balance_3" sheetId="103" r:id="rId109"/>
    <sheet name="Debt - Narrative (Details)" sheetId="104" r:id="rId110"/>
    <sheet name="Debt - Schedule of Short-Term D" sheetId="105" r:id="rId111"/>
    <sheet name="Debt - Schedule of Debt (Detail" sheetId="106" r:id="rId112"/>
    <sheet name="Debt - Scheduled Principal Paym" sheetId="107" r:id="rId113"/>
    <sheet name="Postretirement Plans - Componen" sheetId="108" r:id="rId114"/>
    <sheet name="Postretirement Plans - Schedule" sheetId="109" r:id="rId115"/>
    <sheet name="Postretirement Plans - Schedu_2" sheetId="110" r:id="rId116"/>
    <sheet name="Postretirement Plans - Narrativ" sheetId="111" r:id="rId117"/>
    <sheet name="Postretirement Plans - Schedu_3" sheetId="112" r:id="rId118"/>
    <sheet name="Postretirement Plans - Schedu_4" sheetId="113" r:id="rId119"/>
    <sheet name="Postretirement Plans - Schedu_5" sheetId="114" r:id="rId120"/>
    <sheet name="Postretirement Plans - Schedu_6" sheetId="115" r:id="rId121"/>
    <sheet name="Postretirement Plans - Schedu_7" sheetId="116" r:id="rId122"/>
    <sheet name="Postretirement Plans - Schedu_8" sheetId="117" r:id="rId123"/>
    <sheet name="Postretirement Plans - Schedu_9" sheetId="118" r:id="rId124"/>
    <sheet name="Share-Based Compensation and _3" sheetId="119" r:id="rId125"/>
    <sheet name="Share-Based Compensation and _4" sheetId="120" r:id="rId126"/>
    <sheet name="Share-Based Compensation and _5" sheetId="121" r:id="rId127"/>
    <sheet name="Share-Based Compensation and _6" sheetId="122" r:id="rId128"/>
    <sheet name="Share-Based Compensation and _7" sheetId="123" r:id="rId129"/>
    <sheet name="Shareholders' Equity - Narrativ" sheetId="124" r:id="rId130"/>
    <sheet name="Shareholders' Equity - Schedule" sheetId="125" r:id="rId131"/>
    <sheet name="Shareholders' Equity - Schedu_2" sheetId="126" r:id="rId132"/>
    <sheet name="Derivative Financial Instrume_3" sheetId="127" r:id="rId133"/>
    <sheet name="Derivative Financial Instrume_4" sheetId="128" r:id="rId134"/>
    <sheet name="Derivative Financial Instrume_5" sheetId="129" r:id="rId135"/>
    <sheet name="Derivative Financial Instrume_6" sheetId="130" r:id="rId136"/>
    <sheet name="Fair Value Measurements - Fair " sheetId="131" r:id="rId137"/>
    <sheet name="Fair Value Measurements - Fai_2" sheetId="132" r:id="rId138"/>
    <sheet name="Fair Value Measurements - Fai_3" sheetId="133" r:id="rId139"/>
    <sheet name="Legal Proceedings - Narrative (" sheetId="134" r:id="rId140"/>
    <sheet name="Segment and Revenue Informati_3" sheetId="135" r:id="rId141"/>
    <sheet name="Segment and Revenue Informati_4" sheetId="136" r:id="rId142"/>
    <sheet name="Segment and Revenue Informati_5" sheetId="137" r:id="rId143"/>
    <sheet name="Segment and Revenue Informati_6" sheetId="138" r:id="rId144"/>
    <sheet name="Segment and Revenue Informati_7" sheetId="139" r:id="rId145"/>
    <sheet name="Segment and Revenue Informati_8" sheetId="140" r:id="rId146"/>
    <sheet name="Segment and Revenue Informati_9" sheetId="141" r:id="rId147"/>
    <sheet name="Segment and Revenue Informat_10" sheetId="142" r:id="rId14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52" l="1"/>
  <c r="I19" i="152"/>
  <c r="I18" i="152"/>
  <c r="K18" i="152"/>
  <c r="J18" i="152"/>
  <c r="K15" i="152"/>
  <c r="J15" i="152"/>
  <c r="G8" i="152"/>
  <c r="F8" i="152"/>
  <c r="G7" i="152"/>
  <c r="F7" i="152"/>
  <c r="G5" i="152"/>
  <c r="F6" i="152" s="1"/>
  <c r="F5" i="152"/>
  <c r="G2" i="152"/>
  <c r="F2" i="152"/>
  <c r="I18" i="145"/>
  <c r="I8" i="150"/>
  <c r="H18" i="145"/>
  <c r="I7" i="150"/>
  <c r="E34" i="150"/>
  <c r="C18" i="147"/>
  <c r="C25" i="147"/>
  <c r="C26" i="147" s="1"/>
  <c r="C22" i="147"/>
  <c r="C23" i="147" s="1"/>
  <c r="H12" i="146"/>
  <c r="G25" i="146"/>
  <c r="J2" i="145"/>
  <c r="J3" i="145"/>
  <c r="J4" i="145"/>
  <c r="J5" i="145"/>
  <c r="J6" i="145"/>
  <c r="J7" i="145"/>
  <c r="I12" i="150"/>
  <c r="I11" i="150"/>
  <c r="I10" i="150"/>
  <c r="I9" i="150"/>
  <c r="I6" i="150"/>
  <c r="G69" i="150"/>
  <c r="I5" i="150"/>
  <c r="G4" i="146"/>
  <c r="C13" i="147"/>
  <c r="C12" i="147"/>
  <c r="C4" i="147"/>
  <c r="U4" i="147"/>
  <c r="R4" i="147"/>
  <c r="Q4" i="147"/>
  <c r="C8" i="147" s="1"/>
  <c r="N4" i="147"/>
  <c r="C5" i="147" s="1"/>
  <c r="F7" i="145"/>
  <c r="J11" i="3"/>
  <c r="I13" i="3"/>
  <c r="H13" i="3"/>
  <c r="H12" i="3"/>
  <c r="G12" i="3"/>
  <c r="F11" i="3"/>
  <c r="G7" i="145"/>
  <c r="G5" i="145"/>
  <c r="F5" i="145"/>
  <c r="G8" i="145"/>
  <c r="F8" i="145"/>
  <c r="G2" i="145"/>
  <c r="F2" i="145"/>
  <c r="F9" i="152" l="1"/>
  <c r="C11" i="147"/>
  <c r="C14" i="147" s="1"/>
  <c r="C15" i="147" s="1"/>
  <c r="K2" i="145"/>
  <c r="L2" i="145" s="1"/>
  <c r="F6" i="145"/>
  <c r="C6" i="147"/>
  <c r="C9" i="147"/>
  <c r="F9" i="145"/>
  <c r="C16" i="147" l="1"/>
  <c r="C19" i="147" l="1"/>
  <c r="C20" i="147"/>
</calcChain>
</file>

<file path=xl/sharedStrings.xml><?xml version="1.0" encoding="utf-8"?>
<sst xmlns="http://schemas.openxmlformats.org/spreadsheetml/2006/main" count="7874" uniqueCount="1499">
  <si>
    <t>Cover - USD ($) $ in Billions</t>
  </si>
  <si>
    <t>12 Months Ended</t>
  </si>
  <si>
    <t>Dec. 31, 2023</t>
  </si>
  <si>
    <t>Jan. 24, 2024</t>
  </si>
  <si>
    <t>Cover [Abstract]</t>
  </si>
  <si>
    <t> </t>
  </si>
  <si>
    <t>Document Type</t>
  </si>
  <si>
    <t>10-K</t>
  </si>
  <si>
    <t>Document Annual Report</t>
  </si>
  <si>
    <t>true</t>
  </si>
  <si>
    <t>Document Period End Date</t>
  </si>
  <si>
    <t>Dec. 31,  2023</t>
  </si>
  <si>
    <t>Document Transition Report</t>
  </si>
  <si>
    <t>false</t>
  </si>
  <si>
    <t>Entity File Number</t>
  </si>
  <si>
    <t>1-442</t>
  </si>
  <si>
    <t>Entity Incorporation, State or Country Code</t>
  </si>
  <si>
    <t>DE</t>
  </si>
  <si>
    <t>Entity Tax Identification Number</t>
  </si>
  <si>
    <t>91-0425694</t>
  </si>
  <si>
    <t>Entity Address, Address Line One</t>
  </si>
  <si>
    <t>929 Long Bridge Drive</t>
  </si>
  <si>
    <t>Entity Address, City or Town</t>
  </si>
  <si>
    <t>Arlington,</t>
  </si>
  <si>
    <t>Entity Address, State or Province</t>
  </si>
  <si>
    <t>VA</t>
  </si>
  <si>
    <t>Entity Address, Postal Zip Code</t>
  </si>
  <si>
    <t>22202</t>
  </si>
  <si>
    <t>City Area Code</t>
  </si>
  <si>
    <t>(703)</t>
  </si>
  <si>
    <t>Local Phone Number</t>
  </si>
  <si>
    <t>465-3500</t>
  </si>
  <si>
    <t>Title of 12(b) Security</t>
  </si>
  <si>
    <t>Common Stock, $5.00 Par Value</t>
  </si>
  <si>
    <t>Trading Symbol</t>
  </si>
  <si>
    <t>BA</t>
  </si>
  <si>
    <t>Security Exchange Name</t>
  </si>
  <si>
    <t>NYSE</t>
  </si>
  <si>
    <t>Entity Well-known Seasoned Issuer</t>
  </si>
  <si>
    <t>No</t>
  </si>
  <si>
    <t>Entity Voluntary Filers</t>
  </si>
  <si>
    <t>Entity Current Reporting Status</t>
  </si>
  <si>
    <t>Yes</t>
  </si>
  <si>
    <t>Entity Interactive Data Current</t>
  </si>
  <si>
    <t>Entity Filer Category</t>
  </si>
  <si>
    <t>Large Accelerated Filer</t>
  </si>
  <si>
    <t>Entity Small Business</t>
  </si>
  <si>
    <t>Entity Emerging Growth Company</t>
  </si>
  <si>
    <t>ICFR Auditor Attestation Flag</t>
  </si>
  <si>
    <t>Document Financial Statement Error Correction [Flag]</t>
  </si>
  <si>
    <t>Entity Shell Company</t>
  </si>
  <si>
    <t>Entity Public Float</t>
  </si>
  <si>
    <t>Entity Common Stock, Shares Outstanding</t>
  </si>
  <si>
    <t>Documents Incorporated by Reference</t>
  </si>
  <si>
    <t>DOCUMENTS INCORPORATED BY REFERENCE Part III incorporates information by reference to the registrant’s definitive proxy statement, to be filed with the Securities and Exchange Commission within 120 days after the close of the fiscal year ended December 31, 2023.</t>
  </si>
  <si>
    <t>Amendment Flag</t>
  </si>
  <si>
    <t>Document Fiscal Year Focus</t>
  </si>
  <si>
    <t>2023</t>
  </si>
  <si>
    <t>Document Fiscal Period Focus</t>
  </si>
  <si>
    <t>FY</t>
  </si>
  <si>
    <t>Entity Registrant Name</t>
  </si>
  <si>
    <t>BOEING CO</t>
  </si>
  <si>
    <t>Entity Central Index Key</t>
  </si>
  <si>
    <t>0000012927</t>
  </si>
  <si>
    <t>Current Fiscal Year End Date</t>
  </si>
  <si>
    <t>--12-31</t>
  </si>
  <si>
    <t>Audit Information</t>
  </si>
  <si>
    <t>Auditor Information [Abstract]</t>
  </si>
  <si>
    <t>Auditor name</t>
  </si>
  <si>
    <t>Deloitte &amp; Touche LLP</t>
  </si>
  <si>
    <t>Auditor location</t>
  </si>
  <si>
    <t>Chicago, Illinois</t>
  </si>
  <si>
    <t>Auditor firm ID</t>
  </si>
  <si>
    <t>34</t>
  </si>
  <si>
    <t>Consolidated Statements of Operations - USD ($) $ in Millions</t>
  </si>
  <si>
    <t>Dec. 31, 2022</t>
  </si>
  <si>
    <t>Dec. 31, 2021</t>
  </si>
  <si>
    <t>Total revenues</t>
  </si>
  <si>
    <t>Total costs and expenses</t>
  </si>
  <si>
    <t>Gross profit</t>
  </si>
  <si>
    <t>Income/(loss) from operating investments, net</t>
  </si>
  <si>
    <t>General and administrative expense</t>
  </si>
  <si>
    <t>Research and development expense, net</t>
  </si>
  <si>
    <t>Gain on dispositions, net</t>
  </si>
  <si>
    <t>Loss from operations</t>
  </si>
  <si>
    <t>Other income, net</t>
  </si>
  <si>
    <t>TAX SHIELD</t>
  </si>
  <si>
    <t>Interest and debt expense</t>
  </si>
  <si>
    <t>Loss before income taxes</t>
  </si>
  <si>
    <t>Income tax (expense)/benefit</t>
  </si>
  <si>
    <t>Net loss</t>
  </si>
  <si>
    <t>Less: net loss attributable to noncontrolling interest</t>
  </si>
  <si>
    <t>Net loss attributable to Boeing Shareholders</t>
  </si>
  <si>
    <t>Basic loss per share (in dollars per share)</t>
  </si>
  <si>
    <t>Diluted loss per share (in dollars per share)</t>
  </si>
  <si>
    <t>Sales of products</t>
  </si>
  <si>
    <t>Cost of goods and services sold</t>
  </si>
  <si>
    <t>Sales of services</t>
  </si>
  <si>
    <t xml:space="preserve">Forcasted </t>
  </si>
  <si>
    <t>Dec. 31,2024</t>
  </si>
  <si>
    <t>Growth Rate %</t>
  </si>
  <si>
    <t>Weighted Average Cost of Capital</t>
  </si>
  <si>
    <t>Operating expense percentage of Revenue</t>
  </si>
  <si>
    <t>General and administrative expense % of total revenue</t>
  </si>
  <si>
    <t>Research and Development expense % of total revenue</t>
  </si>
  <si>
    <t>Loss from operations % of total revenue</t>
  </si>
  <si>
    <t>Consolidated Statements of Comprehensive Income - USD ($) $ in Millions</t>
  </si>
  <si>
    <t>Statement of Comprehensive Income [Abstract]</t>
  </si>
  <si>
    <t>Other comprehensive (loss)/income, net of tax:</t>
  </si>
  <si>
    <t>Currency translation adjustments</t>
  </si>
  <si>
    <t>Unrealized gain/(loss) on certain investments, net of tax of $0, $0 and $0</t>
  </si>
  <si>
    <t xml:space="preserve"> </t>
  </si>
  <si>
    <t>Derivative instruments:</t>
  </si>
  <si>
    <t>Unrealized gain/(loss) arising during period, net of tax of ($11), $12 and ($16)</t>
  </si>
  <si>
    <t>Reclassification adjustment for (gain)/loss included in net loss, net of tax of $1, ($3) and $2</t>
  </si>
  <si>
    <t>Total unrealized gain/(loss) on derivative instruments, net of tax</t>
  </si>
  <si>
    <t>Defined benefit pension plans &amp; other postretirement benefits:</t>
  </si>
  <si>
    <t>Net actuarial (loss)/gain arising during the period, net of tax of $13, ($22) and ($32)</t>
  </si>
  <si>
    <t>Amortization of actuarial (gain)/loss included in net periodic pension cost, net of tax of $0, ($11) and ($8)</t>
  </si>
  <si>
    <t>Settlement (gain)/loss included in net periodic cost, net of tax of $0, $0 and ($2)</t>
  </si>
  <si>
    <t>Amortization of prior service credits included in net periodic pension cost, net of tax of $1, $2 and $1</t>
  </si>
  <si>
    <t>Prior service credit arising during the period, net of tax of $0, $0 and $0</t>
  </si>
  <si>
    <t>Pension and postretirement (cost)/benefit related to our equity method investments, net of tax of $0, $0 and ($2)</t>
  </si>
  <si>
    <t>Total defined benefit pension plans &amp; other postretirement benefits, net of tax</t>
  </si>
  <si>
    <t>Other comprehensive (loss)/income, net of tax</t>
  </si>
  <si>
    <t>Comprehensive (loss)/income, net of tax</t>
  </si>
  <si>
    <t>Comprehensive loss related to noncontrolling interests</t>
  </si>
  <si>
    <t>Comprehensive (loss)/income attributable to Boeing Shareholders, net of tax</t>
  </si>
  <si>
    <t>Consolidated Statements of Comprehensive Income (Parenthetical) - USD ($) $ in Millions</t>
  </si>
  <si>
    <t>Unrealized loss on certain investments, tax</t>
  </si>
  <si>
    <t>Unrealized gain/(loss) arising during period, tax</t>
  </si>
  <si>
    <t>Reclassification adjustment for (gain)/loss included in net earnings, tax</t>
  </si>
  <si>
    <t>Net actuarial gain/(loss) arising during the period, tax</t>
  </si>
  <si>
    <t>Amortization of actuarial loss included in net periodic pension cost, tax</t>
  </si>
  <si>
    <t>Settlements included in net (loss)/income, tax</t>
  </si>
  <si>
    <t>Amortization of prior service credits included in net periodic pension cost, tax</t>
  </si>
  <si>
    <t>Prior service cost/(credit) arising during the period, tax</t>
  </si>
  <si>
    <t>Pension and postretirement (cost)/benefit related to our equity method investments, tax</t>
  </si>
  <si>
    <t>Consolidated Statements of Financial Position - USD ($) $ in Millions</t>
  </si>
  <si>
    <t>Assets</t>
  </si>
  <si>
    <t>Cash and cash equivalents</t>
  </si>
  <si>
    <t>Adjusted Equity to before share buyback*</t>
  </si>
  <si>
    <t>Short-term and other investments</t>
  </si>
  <si>
    <t>Ratios</t>
  </si>
  <si>
    <t>Formula</t>
  </si>
  <si>
    <t>Boeing</t>
  </si>
  <si>
    <t>Lockheed Martin</t>
  </si>
  <si>
    <t>Raytheon</t>
  </si>
  <si>
    <t>Accounts receivable, net</t>
  </si>
  <si>
    <t>Current Ratio</t>
  </si>
  <si>
    <t>Current Assets/Current Liabilities</t>
  </si>
  <si>
    <t>Unbilled receivables, net</t>
  </si>
  <si>
    <t>Quick Ratio</t>
  </si>
  <si>
    <t>(Cash+short term investment + AR) / current liabilities</t>
  </si>
  <si>
    <t>Current portion of financing receivables, net</t>
  </si>
  <si>
    <t>Total Liability to equity</t>
  </si>
  <si>
    <t>Total Liabilities / Equity</t>
  </si>
  <si>
    <t>Inventories</t>
  </si>
  <si>
    <t>Total Debt to Equity</t>
  </si>
  <si>
    <t xml:space="preserve"> (Long + Short Term Debt) / Equity</t>
  </si>
  <si>
    <t>Other current assets, net</t>
  </si>
  <si>
    <t>Times interest Earned Ratio</t>
  </si>
  <si>
    <t>EBIT / Interest Expense</t>
  </si>
  <si>
    <t>Total current assets</t>
  </si>
  <si>
    <t>EBITDA Coverage Ratio</t>
  </si>
  <si>
    <t>(EBIT+Depreciation &amp; Amortization) / Interest Expense</t>
  </si>
  <si>
    <t>Financing receivables and operating lease equipment, net</t>
  </si>
  <si>
    <t>Cash from Operation to Total Debt Ratio</t>
  </si>
  <si>
    <t>Cash from Operations / (Short + Long Term Debt)</t>
  </si>
  <si>
    <t>Property, plant and equipment, net</t>
  </si>
  <si>
    <t>Free Operating Cash Flow to Total Debt Ratio</t>
  </si>
  <si>
    <t>Cash from Operations - Capex / Short Term + Long Term Debt</t>
  </si>
  <si>
    <t>Goodwill</t>
  </si>
  <si>
    <t>Acquired intangible assets, net</t>
  </si>
  <si>
    <t>Deferred income taxes</t>
  </si>
  <si>
    <t>Investments</t>
  </si>
  <si>
    <t>Other assets, net of accumulated amortization of $1,046 and $949</t>
  </si>
  <si>
    <t>Total assets</t>
  </si>
  <si>
    <t>Liabilities and equity</t>
  </si>
  <si>
    <t>Accounts payable</t>
  </si>
  <si>
    <t>Accrued liabilities</t>
  </si>
  <si>
    <t>Advances and progress billings</t>
  </si>
  <si>
    <t>Short-term debt and current portion of long-term debt</t>
  </si>
  <si>
    <t>Total current liabilities</t>
  </si>
  <si>
    <t>Accrued retiree health care</t>
  </si>
  <si>
    <t>Accrued pension plan liability, net</t>
  </si>
  <si>
    <t>Other long-term liabilities</t>
  </si>
  <si>
    <t>Long-term debt</t>
  </si>
  <si>
    <t>Total liabilities</t>
  </si>
  <si>
    <t>Shareholders’ equity:</t>
  </si>
  <si>
    <t>Common stock, par value $5.00 – 1,200,000,000 shares authorized; 1,012,261,159 shares issued</t>
  </si>
  <si>
    <t>Additional paid-in capital</t>
  </si>
  <si>
    <t>Equity before Buy Back</t>
  </si>
  <si>
    <t>Treasury stock, at cost</t>
  </si>
  <si>
    <t>Retained earnings</t>
  </si>
  <si>
    <t>Accumulated other comprehensive loss</t>
  </si>
  <si>
    <t>Total shareholders’ deficit</t>
  </si>
  <si>
    <t>Noncontrolling interests</t>
  </si>
  <si>
    <t>Total equity</t>
  </si>
  <si>
    <t>Total liabilities and equity</t>
  </si>
  <si>
    <t>ebit</t>
  </si>
  <si>
    <t>Consolidated Statements of Cash Flows - USD ($) $ in Millions</t>
  </si>
  <si>
    <t>Cash flows – operating activities:</t>
  </si>
  <si>
    <t>Non-cash items –</t>
  </si>
  <si>
    <t>Share-based plans expense</t>
  </si>
  <si>
    <t>Treasury shares issued for 401(k) contribution</t>
  </si>
  <si>
    <t>Depreciation and amortization</t>
  </si>
  <si>
    <t>Investment/asset impairment charges, net</t>
  </si>
  <si>
    <t>787 reach-forward loss</t>
  </si>
  <si>
    <t>Other charges and credits, net</t>
  </si>
  <si>
    <t>Changes in assets and liabilities –</t>
  </si>
  <si>
    <t>Accounts receivable</t>
  </si>
  <si>
    <t>Unbilled receivables</t>
  </si>
  <si>
    <t>Other current assets</t>
  </si>
  <si>
    <t>Income taxes receivable, payable and deferred</t>
  </si>
  <si>
    <t>Pension and other postretirement plans</t>
  </si>
  <si>
    <t>Other</t>
  </si>
  <si>
    <t>Net cash provided/(used) by operating activities</t>
  </si>
  <si>
    <t>Cash flows – investing activities:</t>
  </si>
  <si>
    <t>Payments to acquire property, plant and equipment</t>
  </si>
  <si>
    <t>Proceeds from disposals of property, plant and equipment</t>
  </si>
  <si>
    <t>Acquisitions, net of cash acquired</t>
  </si>
  <si>
    <t>Contributions to investments</t>
  </si>
  <si>
    <t>Proceeds from investments</t>
  </si>
  <si>
    <t>Net cash (used)/provided by investing activities</t>
  </si>
  <si>
    <t>Cash flows – financing activities:</t>
  </si>
  <si>
    <t>New borrowings</t>
  </si>
  <si>
    <t>Debt repayments</t>
  </si>
  <si>
    <t>Stock options exercised</t>
  </si>
  <si>
    <t>Employee taxes on certain share-based payment arrangements</t>
  </si>
  <si>
    <t>Net cash used by financing activities</t>
  </si>
  <si>
    <t>Effect of exchange rate changes on cash and cash equivalents</t>
  </si>
  <si>
    <t>Net (decrease)/increase in cash &amp; cash equivalents, including restricted</t>
  </si>
  <si>
    <t>Cash &amp; cash equivalents, including restricted, at beginning of year</t>
  </si>
  <si>
    <t>Cash &amp; cash equivalents, including restricted, at end of year</t>
  </si>
  <si>
    <t>Less restricted cash &amp; cash equivalents, included in Investments</t>
  </si>
  <si>
    <t>*Based on Moodys Rating Scale</t>
  </si>
  <si>
    <t>Rating</t>
  </si>
  <si>
    <t>Most Recent Affirm Date</t>
  </si>
  <si>
    <t>Baa3</t>
  </si>
  <si>
    <t>A2</t>
  </si>
  <si>
    <t>Baa1</t>
  </si>
  <si>
    <t>Lockheed</t>
  </si>
  <si>
    <t>Sales</t>
  </si>
  <si>
    <t>ROE</t>
  </si>
  <si>
    <t>NI</t>
  </si>
  <si>
    <t>ROA</t>
  </si>
  <si>
    <t>FL</t>
  </si>
  <si>
    <t>ATA</t>
  </si>
  <si>
    <t>PM</t>
  </si>
  <si>
    <t xml:space="preserve">Liabilites </t>
  </si>
  <si>
    <t>AT</t>
  </si>
  <si>
    <t>equity</t>
  </si>
  <si>
    <t>RNOA</t>
  </si>
  <si>
    <t>NA</t>
  </si>
  <si>
    <t>Average Equity</t>
  </si>
  <si>
    <t>NOPM</t>
  </si>
  <si>
    <t>NOPBT</t>
  </si>
  <si>
    <t>NOAT</t>
  </si>
  <si>
    <t>tax loss</t>
  </si>
  <si>
    <t>Tax shield</t>
  </si>
  <si>
    <t>NOPAT</t>
  </si>
  <si>
    <t>NOA</t>
  </si>
  <si>
    <t>Average NOA</t>
  </si>
  <si>
    <t>adjusted ROE</t>
  </si>
  <si>
    <t>adjusted FL</t>
  </si>
  <si>
    <t>adjusted equity</t>
  </si>
  <si>
    <t>Inventory Turnover</t>
  </si>
  <si>
    <t xml:space="preserve"> =</t>
  </si>
  <si>
    <t xml:space="preserve">COGS / average inventories </t>
  </si>
  <si>
    <t>Answer</t>
  </si>
  <si>
    <t>=</t>
  </si>
  <si>
    <t>COGS</t>
  </si>
  <si>
    <t>Revenue</t>
  </si>
  <si>
    <t xml:space="preserve">PPE Turnover Ratio </t>
  </si>
  <si>
    <t>revenue/average (net value of PPE)</t>
  </si>
  <si>
    <t xml:space="preserve">Percent used up  </t>
  </si>
  <si>
    <t>accumulated depreciation/ average of depreicable assets value</t>
  </si>
  <si>
    <t>Accumulated Depreciation</t>
  </si>
  <si>
    <t xml:space="preserve">Depreciable Asset Value </t>
  </si>
  <si>
    <t>Inventory Method</t>
  </si>
  <si>
    <t xml:space="preserve">FIFO </t>
  </si>
  <si>
    <t xml:space="preserve">Depreciation and Amorization Method </t>
  </si>
  <si>
    <t>Depreciation and Amorization</t>
  </si>
  <si>
    <t>Book Value MM</t>
  </si>
  <si>
    <t>stock price ($)</t>
  </si>
  <si>
    <t>Equity Book value (adjusted)(millions)</t>
  </si>
  <si>
    <t>Equity assumed value</t>
  </si>
  <si>
    <t>NNO</t>
  </si>
  <si>
    <t>Shares outstanding (millions)</t>
  </si>
  <si>
    <t>BV MM</t>
  </si>
  <si>
    <t>Equity intrinsic value</t>
  </si>
  <si>
    <t>Equity intrinsic value per share</t>
  </si>
  <si>
    <t>Consolidated Statements of Financial Position (Parenthetical) - USD ($) $ in Millions</t>
  </si>
  <si>
    <t>Statement of Financial Position [Abstract]</t>
  </si>
  <si>
    <t>Other assets, net of accumulated amortization</t>
  </si>
  <si>
    <t>Common stock, par value (in dollars per share)</t>
  </si>
  <si>
    <t>Common stock, shares authorized (in shares)</t>
  </si>
  <si>
    <t>Common stock, shares, issued (in shares)</t>
  </si>
  <si>
    <t>Consolidated Statements of Equity - USD ($) $ in Millions</t>
  </si>
  <si>
    <t>Total</t>
  </si>
  <si>
    <t>Common Stock</t>
  </si>
  <si>
    <t>Additional Paid-In Capital</t>
  </si>
  <si>
    <t>Treasury Stock</t>
  </si>
  <si>
    <t>Retained Earnings</t>
  </si>
  <si>
    <t>Accumulated Other Comprehensive Loss</t>
  </si>
  <si>
    <t>Non- controlling Interests</t>
  </si>
  <si>
    <t>Beginning balance at Dec. 31, 2020</t>
  </si>
  <si>
    <t>Increase (Decrease) in Stockholders' Equity [Roll Forward]</t>
  </si>
  <si>
    <t>Other comprehensive income (loss), net of tax</t>
  </si>
  <si>
    <t>Share-based compensation</t>
  </si>
  <si>
    <t>Treasury shares issued for stock options exercised, net</t>
  </si>
  <si>
    <t>Treasury shares issued for other share-based plans, net</t>
  </si>
  <si>
    <t>Ending balance at Dec. 31, 2021</t>
  </si>
  <si>
    <t>Ending balance at Dec. 31, 2022</t>
  </si>
  <si>
    <t>Subsidiary shares purchased from noncontrolling interests</t>
  </si>
  <si>
    <t>Other changes in noncontrolling interests</t>
  </si>
  <si>
    <t>Ending balance at Dec. 31, 2023</t>
  </si>
  <si>
    <t>Consolidated Statements of Equity (Parenthetical) - USD ($) $ in Millions</t>
  </si>
  <si>
    <t>Statement of Stockholders' Equity [Abstract]</t>
  </si>
  <si>
    <t>Other comprehensive income (loss), tax</t>
  </si>
  <si>
    <t>Summary of Business Segment Data</t>
  </si>
  <si>
    <t>Segment Reporting, Disclosure of Entity's Reportable Segments [Abstract]</t>
  </si>
  <si>
    <t>The Boeing Company and Subsidiaries Notes to the Consolidated Financial Statements Summary of Business Segment Data (Dollars in millions) Years ended December 31, 2023 2022 2021 Revenues: Commercial Airplanes $33,901 $26,026 $19,714 Defense, Space &amp; Security 24,933 23,162 26,540 Global Services 19,127 17,611 16,328 Unallocated items, eliminations and other (167) (191) (296) Total revenues $77,794 $66,608 $62,286 Loss from operations: Commercial Airplanes ($1,635) ($2,341) ($6,377) Defense, Space &amp; Security (1,764) (3,544) 1,544 Global Services 3,329 2,727 2,017 Segment operating loss (70) (3,158) (2,816) Unallocated items, eliminations and other (1,759) (1,504) (1,227) FAS/CAS service cost adjustment 1,056 1,143 1,173 Loss from operations (773) (3,519) (2,870) Other income, net 1,227 1,058 551 Interest and debt expense (2,459) (2,561) (2,714) Loss before income taxes (2,005) (5,022) (5,033) Income tax (expense)/benefit (237) (31) 743 Net loss (2,242) (5,053) (4,290) Less: net loss attributable to noncontrolling interest (20) (118) (88) Net loss attributable to Boeing Shareholders ($2,222) ($4,935) ($4,202) This information is an integral part of the Notes to the Consolidated Financial Statements. See Note 22 for further segment results.</t>
  </si>
  <si>
    <t>Summary of Significant Accounting Policies</t>
  </si>
  <si>
    <t>Accounting Policies [Abstract]</t>
  </si>
  <si>
    <t>Summary of Significant Accounting Policies Principles of Consolidation and Basis of Presentation The Consolidated Financial Statements included in this report have been prepared by management of The Boeing Company (herein referred to as “Boeing,” the “Company,” “we,” “us” or “our”). These statements include the accounts of all majority-owned subsidiaries and variable interest entities that are required to be consolidated. All significant intercompany accounts and transactions have been eliminated. As described in Note 22, we now operate in three reportable segments: Commercial Airplanes (BCA), Defense, Space &amp; Security (BDS), and Global Services (BGS). As a result, prior period amounts have been reclassified to conform to current period presentation. Use of Estimates The preparation of financial statements in conformity with U.S. generally accepted accounting principles (GAAP)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Actual results could differ from those estimates. Operating Cycle For classification of certain current assets and liabilities, we use the duration of the related contract or program as our operating cycle, which is generally longer than one year. Revenue and Related Cost Recognition Commercial aircraft contracts The majority of our BCA segment revenue is derived from commercial aircraft contracts. For each contract, we determine the transaction price based on the consideration expected to be received. We allocate the transaction price to each commercial aircraft performance obligation based on relative standalone selling prices adjusted by an escalation formula as specified in the customer agreement. Revenue is recognized for each commercial aircraft performance obligation at the point in time when the aircraft is completed and accepted by the customer. We use program accounting to determine the amount reported as cost of sales. Payments for commercial aircraft sales are received in accordance with the customer agreement, which generally includes a deposit upon order and additional payments in accordance with a payment schedule, with the balance being due immediately prior to or at aircraft delivery. Advances and progress billings (contract liabilities) are normal and customary for commercial aircraft contracts and not considered a significant financing component as they are intended to protect us from the other party failing to adequately complete some or all of its obligations under the contract. Long-term contracts Substantially all contracts at BDS and certain contracts at BGS are long-term contracts with the U.S. government and other customers that generally extend over several years. Products sales under long-term contracts primarily include fighter jets, rotorcraft, cybersecurity products, surveillance suites, advanced weapons, missile defense, military derivative aircraft, satellite systems and modification of commercial passenger aircraft to cargo freighters. Sales of services under long-term contracts primarily include support and maintenance agreements associated with our commercial and defense products and space travel on Commercial Crew. For each long-term contract, we determine the transaction price based on the consideration expected to be received. We allocate the transaction price to each distinct performance obligation to deliver a good or service, or a collection of goods and/or services, based on the relative standalone selling prices. A long-term contract will typically represent a single distinct performance obligation due to the highly interdependent and interrelated nature of the underlying goods and/or services and the significant service of integration that we provide. While the scope and price on certain long-term contracts may be modified over their life, the transaction price is based on current rights and obligations under the contract and does not include potential modifications until they are agreed upon with the customer. When applicable, a cumulative adjustment or separate recognition for the additional scope and price may result. Long-term contracts can be negotiated with a fixed price or a price in which we are reimbursed for costs incurred plus an agreed upon profit. The Federal Acquisition Regulations provide guidance on the types of cost that will be reimbursed in establishing the price for contracts with the U.S. government. Certain long-term contracts include in the transaction price variable consideration, such as incentive and award fees, if specified targets are achieved. The amount included in the transaction price represents the expected value, based on a weighted probability, or the most likely amount. Long-term contract revenue is recognized over the contract term (over time) as the work progresses, either as products are produced or as services are rendered. We generally recognize revenue over time as we perform on long-term contracts because of continuous transfer of control to the customer. For U.S. government contracts, this continuous transfer of control to the customer is supported by clauses in the contract that allow the customer to unilaterally terminate the contract for convenience, pay us for costs incurred plus a reasonable profit and take control of any work in process. Similarly, for non-U.S. government contracts, the customer typically controls the work in process as evidenced either by contractual termination clauses or by our rights to payment of the transaction price associated with work performed to date on products or services that do not have an alternative use to the Company. The accounting for long-term contracts involves a judgmental process of estimating total revenues, costs and profit for each performance obligation. Cost of sales is recognized as incurred. The amount reported as revenues is determined by adding a proportionate amount of the estimated profit to the amount reported as cost of sales. Recognizing revenue as costs are incurred provides an objective measure of progress on the long-term contract and thereby best depicts the extent of transfer of control to the customer. For long-term contracts for which revenue is recognized over time, changes in estimated revenues, cost of sales and the related effect on operating income are recognized using a cumulative catch-up adjustment which recognizes in the current period the cumulative effect of the changes on current and prior periods based on a long-term contract’s percentage-of-completion. When the current estimates of total revenues and costs at completion for a long-term contract indicate a loss, a provision for the entire reach-forward loss on the long-term contract is recognized. The table below reflects the impact of net cumulative catch-up adjustments for changes in estimated revenues and costs at completion across all long-term contracts including the impact to Loss from operations from estimated losses on unexercised options for the years ended December 31: 2023 2022 2021 Decrease to Revenue ($1,706) ($2,335) ($379) Increase to Loss from operations ($2,943) ($5,253) ($880) Increase to Diluted loss per share ($5.43) ($8.88) ($1.28) Significant adjustments during the three years ended December 31, 2023 included losses on VC-25B, KC-46A Tanker, MQ-25, Commercial Crew and T-7A Red Hawk programs in addition to lower earnings on F-15 and satellites. Due to the significance of judgment in the estimation process, changes in underlying assumptions/estimates, internal and supplier performance, inflationary trends, or other circumstances may adversely or positively affect financial performance in future periods. Payments under long-term contracts may be received before or after revenue is recognized. The U.S. government customer typically withholds payment of a small portion of the contract price until contract completion. Therefore, long-term contracts typically generate Unbilled receivables (contract assets) but may generate Advances and progress billings (contract liabilities). Long-term contract Unbilled receivables and Advances and progress billings are not considered a significant financing component because they are intended to protect either the customer or the Company in the event that some or all of the obligations under the contract are not completed. Commercial spare parts contracts Certain contracts at our BGS segment include sales of commercial spare parts. For each contract, we determine the transaction price based on the consideration expected to be received. The spare parts have discrete unit prices that represent fair value. We generally consider each spare part to be a separate performance obligation. Revenue is recognized for each commercial spare part performance obligation at the point in time of delivery to the customer. We may provide our customers with a right to return a commercial spare part where a customer may receive a full or partial refund, a credit applied to amounts owed, a different product in exchange, or any combination of these items. We consider the potential for customer returns in the estimated transaction price. The amount reported as cost of sales is recorded at average cost. Payments for commercial spare parts sales are typically received shortly after delivery. Other service revenue contracts Certain contracts at our BGS segment are for sales of services to commercial customers including maintenance, training, data analytics and information-based services. We recognize revenue for these service performance obligations over time as the services are rendered. The method of measuring progress (such as straight-line or billable amount) varies depending upon which method best depicts the transfer of control to the customer based on the type of service performed. Cost of sales is recorded as incurred. Concession sharing arrangements We account for sales concessions to our customers in consideration of their purchase of products and services as a reduction of the transaction price and the revenue that is recognized for the related performance obligations. The sales concessions incurred may be partially reimbursed by certain suppliers in accordance with concession sharing arrangements. We record these reimbursements, which are presumed to represent reductions in the price of the vendor’s products or services, as a reduction in Cost of products. Unbilled receivables and advances and progress billings Unbilled receivables (contract assets) arise when the Company recognizes revenue for amounts which cannot yet be billed under terms of the contract with the customer. Advances and progress billings (contract liabilities) arise when the Company receives payments from customers in advance of recognizing revenue. The amount of Unbilled receivables or Advances and progress billings is determined for each contract. Financial services revenue We record financial services revenue associated with sales-type leases, operating leases and loans in Sales of services on the Consolidated Statements of Operations. For sales-type leases, we recognize selling profit or loss at lease inception if collection of the lease payments is probable. For sales-type leases, we record financing receivables at lease inception. A financing receivable is recorded at the aggregate of future lease payments, estimated residual value of the leased equipment, and any deferred incremental direct costs less unearned income. Income is recognized over the life of the lease to approximate a level rate of return on the net investment. For notes receivable, we record financing receivables net of any unamortized discounts and deferred incremental direct costs. Interest income and amortization of any discounts are recorded ratably over the related term of the note. Income recognition is generally suspended for financing receivables that are uncollectible. We determine that a financing receivable is uncollectible when, based on current information and events, it is probable that we will be unable to collect amounts due according to the original contractual terms. We determine a financing receivable is past due when cash has not been received upon the due date specified in the contract. We evaluate the collectability of financing receivables at commencement and on a recurring basis. If a financing receivable is determined to be uncollectible, the customer is categorized as non-accrual status. When a customer is in non-accrual status at commencement, sales-type lease revenue is deferred until substantially all cash has been received or the customer is removed from non-accrual status. If we have a note receivable with a customer that is in non-accrual status, or a sales-type lease with a customer that changes to non-accrual status after commencement, we recognize contractual interest income as payments are received to the extent there is sufficient collateral and payments exceed past due principal payments. Residual values, which are reviewed periodically, represent the estimated amount we expect to receive at lease termination from the disposition of the leased equipment. Actual residual values realized could differ from these estimates. Declines in estimated residual value that are deemed other-than-temporary are recognized in the period in which the declines occur. For operating leases, revenue on leased aircraft and equipment is recorded on a straight-line basis over the term of the lease. Operating lease assets, included in Financing receivables and operating lease equipment, net, are recorded at cost and depreciated to an estimated residual value using the straight-line method over the period that we project we will hold the asset. We periodically review our estimates of residual value and recognize forecasted changes by prospectively adjusting depreciation expense. We record assets held for sale at the lower of carrying value or fair value less costs to sell. We evaluate for impairment assets under operating leases when events or changes in circumstances indicate that the expected undiscounted cash flow from the asset may be less than the carrying value. When we determine that impairment is indicated for an asset, the amount of impairment expense recorded is the excess of the carrying value over the fair value of the asset. Reinsurance revenue Our wholly-owned insurance subsidiary, Astro Ltd., participates in a reinsurance pool for workers’ compensation. The member agreements and practices of the reinsurance pool minimize any participating members’ individual risk. Reinsurance revenues were $163, $129 and $126 during 2023, 2022 and 2021, respectively. Reinsurance costs related to premiums and claims paid to the reinsurance pool were $181, $134 and $129 during 2023, 2022 and 2021, respectively. Revenues and costs are presented net in Cost of sales in the Consolidated Statements of Operations. Research and Development Research and development includes costs incurred for experimentation, design and testing, as well as bid and proposal efforts related to government products and services, which are expensed as incurred unless the costs are related to certain contractual arrangements with customers. Costs that are incurred pursuant to such contractual arrangements are recorded over the period that revenue is recognized, consistent with our long-term contract accounting policy. We have certain research and development arrangements that meet the requirement for best efforts research and development accounting. Accordingly, the amounts funded by the customer are recognized as an offset to our research and development expense rather than as contract revenues. Research and development expense, net included bid and proposal costs of $188, $217 and $213 in 2023, 2022 and 2021, respectively. Share-Based Compensation We provide various forms of share-based compensation to our employees. For awards settled in shares, we measure compensation expense based on the grant-date fair value net of estimated forfeitures. For awards settled in cash, or that may be settled in cash, we measure compensation expense based on the fair value at each reporting date net of estimated forfeitures. The expense is recognized over the requisite service period, which is generally the vesting period of the award. Income Taxes Provisions for U.S. federal, state and local, and non-U.S. income taxes are calculated on reported Loss before income taxes based on current tax law and also include, in the current period, the cumulative effect of any changes in tax rates from those used previously in determining deferred tax assets and liabilities. Such provisions differ from the amounts currently receivable or payable because certain items of income and expense are recognized in different time periods for financial reporting purposes than for income tax purposes. Significant judgment is required in determining income tax provisions and evaluating tax positions. The accounting for uncertainty in income taxes requires a more-likely-than-not threshold for financial statement recognition and measurement of tax positions taken or expected to be taken in a tax return. We record a liability for the difference between the benefit recognized and measured for financial statement purposes and the tax position taken or expected to be taken on our tax return. To the extent that our assessment of such tax positions changes, the change in estimate is recorded in the period in which the determination is made. Tax-related interest and penalties are classified as a component of Income tax (expense)/benefit. We also assess the likelihood that we will be able to recover our deferred tax assets against future sources of taxable income and reduce the carrying amounts of deferred tax assets by recording a valuation allowance if, based on the available evidence, it is more likely than not that all or a portion of such assets will not be realized. Changes in our estimates and judgments regarding realization of deferred tax assets may result in an increase or decrease to our tax expense and/or other comprehensive income, which would be recorded in the period in which the change occurs. Postretirement Plans Many of our employees have earned benefits under defined benefit pension plans. The majority of employees that had participated in defined benefit pension plans have transitioned to a company-funded defined contribution retirement savings plan. We also provide postretirement benefit plans other than pensions, consisting principally of health care coverage to eligible retirees and qualifying dependents. Benefits under the pension and other postretirement benefit plans are generally based on age at retirement and years of service and, for some pension plans, benefits are also based on the employee’s annual earnings. The net periodic cost of our pension and other postretirement plans is determined using the projected unit credit method and several actuarial assumptions, the most significant of which are the discount rate, the long-term rate of asset return and medical trend (rate of growth for medical costs). Actuarial gains and losses, which occur when actual experience differs from actuarial assumptions, are reflected in Shareholders’ equity (net of taxes). If actuarial gains and losses exceed ten percent of the greater of plan assets or plan liabilities, we amortize them over the average expected future lifetime of participants. The funded status of our pension and postretirement plans is reflected on the Consolidated Statements of Financial Position. Postemployment Plans We record a liability for postemployment benefits, such as severance or job training, when payment is probable, the amount is reasonably estimable, and the obligation relates to rights that have vested or accumulated. Environmental Remediation We are subject to federal and state requirements for protection of the environment, including those for discharge of hazardous materials and remediation of contaminated sites. We routinely assess, based on in-depth studies, expert analyses and legal reviews, our contingencies, obligations and commitments for remediation of contaminated sites, including assessments of ranges and probabilities of recoveries from other responsible parties and/or insurance carriers. Our policy is to accrue and charge to current expense identified exposures related to environmental remediation sites when it is probable that a liability has been incurred and the amount can be reasonably estimated. The amount of the liability is based on our best estimate or the low end of a range of reasonably possible exposure for investigation, cleanup and monitoring costs to be incurred. Estimated remediation costs are not discounted to present value as the timing of payments cannot be reasonably estimated. We may be able to recover a portion of the remediation costs from insurers or other third parties. Such recoveries are recorded when realization of the claim for recovery is deemed probable. Cash and Cash Equivalents Cash and cash equivalents consist of highly liquid instruments, such as commercial paper, time deposits, and other money market instruments, which have original maturities of three months or less. We aggregate our cash balances by bank where conditions for right of set-off are met, and reclassify any negative balances, consisting mainly of uncleared checks, to Accounts payable. Negative balances reclassified to Accounts payable were $117 and $102 at December 31, 2023 and 2022. Inventories Inventoried costs on commercial aircraft programs and long-term contracts include direct engineering, production and tooling and other non-recurring costs, and applicable overhead, which includes fringe benefits, production related indirect and plant management salaries and plant services, not in excess of estimated net realizable value. To the extent a material amount of such costs are related to an abnormal event or are fixed costs not appropriately attributable to our programs or contracts, they are expensed in the current period rather than inventoried. Inventoried costs include amounts relating to programs and contracts with long-term production cycles, a portion of which is not expected to be realized within one year. Included in inventory for federal government contracts is an allocation of allowable costs related to manufacturing process reengineering. Commercial aircraft programs inventory includes deferred production costs and supplier advances. Deferred production costs represent actual costs incurred for production of early units that exceed the estimated average cost of all units in the program accounting quantity. Higher production costs are experienced at the beginning of a new or derivative aircraft program. Units produced early in a program require substantially more effort (labor and other resources) than units produced later in a program because of volume efficiencies and the effects of learning. We expect that these deferred costs will be fully recovered when all units included in the accounting quantity are delivered as the expected unit cost for later deliveries is below the estimated average cost of all units in the program. Supplier advances represent payments for parts we have contracted to receive from suppliers in the future. As parts are received, supplier advances are amortized to work in process. The determination of net realizable value of long-term contract costs is based upon quarterly reviews that estimate costs to be incurred to complete all contract requirements. When actual contract costs and the estimate to complete exceed total estimated contract revenues, a loss provision is recorded. The determination of net realizable value of commercial aircraft program costs is based upon quarterly program reviews that estimate revenue and cost to be incurred to complete the program accounting quantity. When estimated costs to complete exceed estimated program revenues to go, a program loss provision is recorded in the current period for the estimated loss on all undelivered units in the accounting quantity. Used aircraft purchased by our BCA segment and general stock materials are stated at cost not in excess of net realizable value. Spare parts inventory is stated at lower of average unit cost or net realizable value. We review our commercial spare parts and general stock materials quarterly to identify impaired inventory, including excess or obsolete inventory, based on historical sales trends, expected production usage, and the size and age of the aircraft fleet using the part. Impaired inventories are charged to Cost of products in the period the impairment occurs. Included in inventory for commercial aircraft programs are amounts paid or credited in cash, or other consideration to certain airline customers, that are referred to as early issue sales consideration. Early issue sales consideration is recognized as a reduction to revenue when the delivery of the aircraft under contract occurs. If an airline customer does not perform and take delivery of the contracted aircraft, we believe that we would have the ability to recover amounts paid. However, to the extent early issue sales consideration exceeds advances and is not considered to be otherwise recoverable, it would be written off in the current period. Precontract Costs We may, from time to time, incur costs in excess of the amounts required for existing contracts. If we determine the costs are probable of recovery from future orders, then we capitalize the precontract costs we incur, excluding start-up costs which are expensed as incurred. Capitalized precontract costs are included in Inventories in the accompanying Consolidated Statements of Financial Position. Should future orders not materialize or we determine the costs are no longer probable of recovery, the capitalized costs would be written off. Property, Plant and Equipment Property, plant and equipment are recorded at cost, including applicable construction-period interest, less accumulated depreciation and are depreciated principally over the following estimated useful lives: new buildings and land improvements, from 10 to 40 years; and new machinery and equipment, from 4 to 20 years. The principal methods of depreciation are as follows: buildings and land improvements, 150% declining balance; and machinery and equipment, sum-of-the-years’ digits. Capitalized internal use software is included in Other assets, net and amortized using the straight line method over 5 years. Capitalized costs of software purchased as a service are included in Other assets, net and amortized using the straight line method over the term of the hosting arrangement, which is typically no greater than 10 years. We periodically evaluate the appropriateness of remaining depreciable lives assigned to long-lived assets, including assets that may be subject to a management plan for disposition. Long-lived assets held for sale are stated at the lower of cost or fair value less cost to sell. Long-lived assets held for use are subject to an impairment assessment whenever events or changes in circumstances indicate that the carrying amount may not be recoverable. If the carrying value is no longer recoverable based upon the undiscounted future cash flows of the asset, the amount of the impairment is the difference between the carrying amount and the fair value of the asset. Leases We determine if an arrangement is, or contains, a lease under which we are the lessee at the inception date. Operating lease assets are included in Other assets, net, with the related liabilities included in Accrued liabilities and Other long-term liabilities. Assets under finance leases, which primarily represent computer equipment, are included in Property, plant and equipment, net, with the related liabilities included in Short-term debt and current portion of long-term debt and Long-term debt on the Consolidated Statements of Financial Position. Operating lease assets represent our right to use an underlying asset for the lease term and lease liabilities represent our obligation to make lease payments arising from the lease. Operating lease assets and liabilities are recognized at the lease commencement date based on the estimated present value of lease payments over the lease term. We use our estimated incremental borrowing rate in determining the present value of lease payments. Variable components of the lease payments such as fair market value adjustments, utilities and maintenance costs are expensed as incurred and not included in determining the present value. Our lease terms include options to extend or terminate the lease when it is reasonably certain that we will exercise that option. Lease expense for operating leases is recognized on a straight-line basis over the lease term. We have real property lease agreements with lease and non-lease components which are accounted for as a single lease component. Asset Retirement Obligations We record all known asset retirement obligations for which the liability’s fair value can be reasonably estimated, including certain asbestos removal, asset decommissioning and contractual lease restoration obligations. Recorded amounts are not material. We also have known conditional asset retirement obligations, such as certain asbestos remediation and asset decommissioning activities to be performed in the future, that are not reasonably estimable due to insufficient information about the timing and method of settlement of the obligation. Accordingly, these obligations have not been recorded in the Consolidated Financial Statements. A liability for these obligations will be recorded in the period when sufficient information regarding timing and method of settlement becomes available to make a reasonable estimate of the liability’s fair value. In addition, there may be conditional asset retirement obligations that we have not yet discovered (e.g. asbestos may exist in certain buildings but we have not become aware of it through the normal course of business), and therefore, these obligations also have not been included in the Consolidated Financial Statements. Goodwill and Other Acquired Intangibles Goodwill and other acquired intangible assets with indefinite lives are not amortized, but are tested for impairment annually and when an event occurs or circumstances change such that it is more likely than not that an impairment may exist. Our annual testing date is April 1. We test goodwill for impairment by performing a qualitative assessment or using a quantitative test. If we choose to perform a qualitative assessment and determine it is more likely than not that the carrying value of the net assets is more than the fair value of the related operations, the quantitative test is then performed; otherwise, no further testing is required. For operations where the quantitative test is used, we compare the carrying value of net assets to the estimated fair value of the related operations. If the fair value is determined to be less than carrying value, the shortfall up to the carrying value of the goodwill represents the amount of goodwill impairment. Indefinite-lived intangibles consist of a brand and trade name and in-process research and development (IPR&amp;D) acquired in business combinations. IPR&amp;D is initially capitalized at fair value as an intangible asset with an indefinite life and assessed for impairment thereafter. IPR&amp;D is reclassified to finite-lived acquired intangible assets when a project is completed and then amortized on a straight-line basis over the asset’s estimated useful life. We test these intangibles for impairment by comparing the carrying values to current projections of related discounted cash flows. Any excess carrying value over the amount of discounted cash flows represents the amount of the impairment. Our finite-lived acquired intangible assets are amortized on a straight-line basis over their estimated useful lives as follows: developed technology, from 4 to 14 years; product know-how, from 6 to 30 years; customer base, from 3 to 17 years; distribution rights, from 3 to 27 years; and other, from 1 to 32 years. We evaluate the potential impairment of finite-lived acquired intangible assets whenever events or changes in circumstances indicate that the carrying amount may not be recoverable. If the carrying value is no longer recoverable based upon the undiscounted future cash flows of the asset, the amount of the impairment is the difference between the carrying amount and the fair value of the asset. Invest</t>
  </si>
  <si>
    <t>Goodwill and Acquired Intangibles</t>
  </si>
  <si>
    <t>Goodwill and Intangible Assets Disclosure [Abstract]</t>
  </si>
  <si>
    <t xml:space="preserve">Goodwill and Acquired Intangibles Changes in the carrying amount of goodwill for the years ended December 31, 2023 and 2022 were as follows: Commercial Defense, Space &amp; Security Global Services Other Total Balance at December 31, 2021 $1,316 $3,224 $3,443 $85 $8,068 Goodwill adjustments (11) (11) Balance at December 31, 2022 $1,316 $3,224 $3,432 $85 $8,057 Acquisitions 3 11 16 30 Goodwill adjustments 6 6 Balance at December 31, 2023 $1,319 $3,235 $3,454 $85 $8,093 As of December 31, 2023 and 2022, we had indefinite-lived intangible assets with carrying amounts of $197 relating to trade names. As of December 31, 2023 and 2022, we had an indefinite-lived intangible asset with a carrying amount of $202 related to in process research and development for a next-generation air vehicle. The gross carrying amounts and accumulated amortization of our acquired finite-lived intangible assets were as follows at December 31: 2023 2022 Gross Accumulated Gross Accumulated Distribution rights $2,545 $1,566 $2,546 $1,443 Product know-how 552 465 552 441 Customer base 1,358 837 1,356 777 Developed technology 638 569 621 545 Other 280 241 276 233 Total $5,373 $3,678 $5,351 $3,439 Amortization expense for acquired finite-lived intangible assets for the years ended December 31, 2023 and 2022 was $235 and $241. Estimated amortization expense for the five succeeding years is as follows: 2024 2025 2026 2027 2028 Estimated amortization expense $224 $199 $194 $174 $147 </t>
  </si>
  <si>
    <t>Earnings Per Share</t>
  </si>
  <si>
    <t>Earnings Per Share [Abstract]</t>
  </si>
  <si>
    <t>Earnings Per Share Basic and diluted earnings per share are computed using the two-class method, which is an earnings allocation method that determines earnings per share for common shares and participating securities. The undistributed earnings are allocated between common shares and participating securities as if all earnings had been distributed during the period. Participating securities and common shares have equal rights to undistributed earnings. Basic earnings per share is calculated by taking net earnings attributable to Boeing Shareholders, less earnings available to participating securities, divided by the basic weighted average common shares outstanding. Diluted earnings per share is calculated by taking net earnings attributable to Boeing Shareholders, less earnings available to participating securities, divided by the diluted weighted average common shares outstanding. Diluted weighted average common shares outstanding is calculated using the treasury stock method. The elements used in the computation of basic and diluted earnings per share were as follows: (In millions - except per share amounts) Years ended December 31, 2023 2022 2021 Net loss attributable to Boeing Shareholders ($2,222) ($4,935) ($4,202) Less: earnings available to participating securities Net loss available to common shareholders ($2,222) ($4,935) ($4,202) Basic Basic weighted average shares outstanding 606.1 595.2 588.0 Less: participating securities (1) 0.3 0.3 0.4 Basic weighted average common shares outstanding 605.8 594.9 587.6 Diluted Diluted weighted average shares outstanding 606.1 595.2 588.0 Less: participating securities (1) 0.3 0.3 0.4 Diluted weighted average common shares outstanding 605.8 594.9 587.6 Net loss per share: Basic ($3.67) ($8.30) ($7.15) Diluted (3.67) (8.30) (7.15) (1) Participating securities include certain instruments in our deferred compensation plan. The following table represents potential common shares that were not included in the computation of Diluted loss per share because the effect was antidilutive based on their strike price or the performance condition was not met. (Shares in millions) Years ended December 31, 2023 2022 2021 Performance awards 2.9 Performance-based restricted stock units 0.4 0.8 Restricted stock units 1.0 0.4 Stock options 0.8 0.8 0.3 In addition, potential common shares of 5.7 million, 3.5 million, and 2.6 million for the years ended December 31, 2023, 2022 and 2021 were excluded from the computation of Diluted loss per share, because the effect would have been antidilutive as a result of incurring a net loss in those periods.</t>
  </si>
  <si>
    <t>Income Taxes</t>
  </si>
  <si>
    <t>Income Tax Disclosure [Abstract]</t>
  </si>
  <si>
    <t>Income Taxes The components of Loss before income taxes were: Years ended December 31, 2023 2022 2021 U.S. ($2,512) ($5,457) ($5,475) Non-U.S. 507 435 442 Total ($2,005) ($5,022) ($5,033) Income tax (expense)/benefit consisted of the following: Years ended December 31, 2023 2022 2021 Current tax (benefit)/expense U.S. federal $9 ($58) ($89) Non-U.S. 179 142 147 U.S. state 19 (42) 42 Total current 207 42 100 Deferred tax (benefit)/expense U.S. federal 6 (62) (855) Non-U.S. 5 (3) (12) U.S. state 19 54 24 Total deferred 30 (11) (843) Total income tax expense/(benefit) $237 $31 ($743) Net income tax payments/(refunds) were $204, ($1,317) and ($1,480) in 2023, 2022 and 2021, respectively. The following is a reconciliation of the U.S. federal statutory tax to actual income tax (benefit)/expense: Years ended December 31, 2023 2022 2021 Amount Rate Amount Rate Amount Rate U.S. federal statutory tax ($421) 21.0 % ($1,054) 21.0 % ($1,057) 21.0 % Valuation allowance 1,150 (57.3) 1,199 (23.9) 512 (10.2) Research and development credits (472) 23.6 (204) 4.1 (189) 3.8 State income tax provision, net of effects on U.S. federal tax (75) 3.7 (90) 1.8 (94) 1.9 Tax on non-U.S. activities 35 (1.8) 64 (1.3) 47 (0.9) Impact of subsidiary shares purchased from noncontrolling interests (29) 1.5 Other provision adjustments 49 (2.5) 116 (2.3) 38 (0.9) Income tax expense/(benefit) $237 (11.8) % $31 (0.6) % ($743) 14.7 % Significant components of our deferred tax assets/(liabilities) at December 31 were as follows: 2023 2022 Inventory and long-term contract methods of income recognition ($5,115) ($4,369) Research expenditures 2,873 1,464 Federal net operating loss, credit, interest and other carryovers (1) 2,551 2,082 Fixed assets, intangibles and goodwill (1,566) (1,641) Pension benefits 1,178 1,146 Other employee benefits 1,162 1,095 State net operating loss, credit, interest and other carryovers (2) 1,137 1,021 Accrued expenses and reserves 956 933 Other postretirement benefit obligations 590 660 737 MAX customer concessions and other considerations 310 425 Other 304 179 Gross deferred tax assets/(liabilities) before valuation allowance $4,380 $2,995 Valuation allowance (4,550) (3,162) Net deferred tax assets/(liabilities) after valuation allowance ($170) ($167) (1) Of the deferred tax asset for federal net operating loss, credit, interest and other carryovers, $1,224 expires on or before December 31, 2043 and $1,327 may be carried over indefinitely. (2) Of the deferred tax asset for state net operating loss, credit, interest and other carryovers, $575 expires on or before December 31, 2043 and $562 may be carried over indefinitely. Net deferred tax assets/(liabilities) at December 31 were as follows: 2023 2022 Deferred tax assets $14,743 $12,301 Deferred tax liabilities (10,363) (9,306) Valuation allowance (4,550) (3,162) Net deferred tax assets/(liabilities) ($170) ($167) The Company’s deferred income tax assets of $14,743 can be used in future years to offset taxable income and reduce income taxes payable. The Company’s deferred income tax liabilities of $10,363 will partially offset deferred income tax assets and result in higher taxable income in future years and increase income taxes payable. Tax law determines whether future reversals of temporary differences will result in taxable and deductible amounts that offset each other in future years. The particular years in which temporary differences result in taxable or deductible amounts generally are determined by the timing of the recovery of the related asset or settlement of the related liability. The deferred income tax assets and liabilities relate primarily to U.S. federal and state tax jurisdictions. From a U.S. federal tax perspective, the Company generated tax net operating losses in 2021 and interest carryovers in 2021, 2022, and 2023 that can be carried forward indefinitely and federal research and development credits that can be carried forward 20 years. Throughout 2021, 2022, and 2023, the Company was in a three-year cumulative pre-tax loss position. For purposes of assessing the recoverability of deferred tax assets, the Company determined that it could not include future projected earnings in the analysis due to recent history of losses. As of December 31, 2023 and 2022, the Company has recorded valuation allowances of $4,550 and $3,162 primarily for certain domestic deferred tax assets, and certain domestic net operating losses, tax credit and interest carryforwards. To measure the valuation allowance, the Company estimated in what year each of its deferred tax assets and liabilities would reverse using systematic and logical methods to estimate the reversal patterns. Based on these methods, deferred tax liabilities are assumed to reverse and generate taxable income over the next 5 to 10 years while deferred tax assets related to pension and other postretirement benefit obligations are assumed to reverse and generate tax deductions over the next 15 to 20 years. The valuation allowance results from not having sufficient income from deferred tax liability reversals in the appropriate future periods to support the realization of deferred tax assets. During 2023, the Company increased the valuation allowance by $1,388, primarily due to tax credits and other carryforwards generated in 2023 that cannot be realized in 2023. This reflects a tax expense of $1,150 recorded in continuing operations, an increase of $31 related to the associated federal benefit of state impacts, a tax expense of $173 included in Other comprehensive income (OCI) primarily due to the net actuarial losses that resulted from the annual remeasurement of pension assets and liabilities, and an increase of $34 included in additional paid-in capital. Until the Company generates sustained levels of profitability, additional valuation allowances may have to be recorded with corresponding adverse impacts on earnings and/or OCI. The Tax Cuts and Jobs Act one-time repatriation tax and Global Intangible Low Tax Income liabilities effectively taxed the undistributed earnings previously deferred from U.S. income taxes. We have not provided for deferred income taxes on the undistributed earnings from certain non-U.S. subsidiaries because such earnings are considered to be indefinitely reinvested. If such earnings were to be distributed, any deferred income taxes would not be significant. As of December 31, 2023 and 2022, the amounts accrued for the payment of income tax-related interest and penalties included in the Consolidated Statements of Financial Position were not significant. The amounts of interest included in the Consolidated Statements of Operations were not significant for 2023, 2022 and 2021. A reconciliation of the beginning and ending amount of unrecognized tax benefits is as follows: 2023 2022 2021 Unrecognized tax benefits – January 1 $915 $858 $966 Gross increases – tax positions in prior periods 38 17 64 Gross decreases – tax positions in prior periods (3) (51) (245) Gross increases – current period tax positions 181 91 73 Gross decreases – current period tax positions Unrecognized tax benefits – December 31 $1,131 $915 $858 As of December 31, 2023, 2022 and 2021, the total amount of unrecognized tax benefits include $1,088, $878 and $790, respectively, that would affect the effective tax rate, if recognized. As of December 31, 2023, these amounts were primarily associated with the amount of research tax credits claimed and various other matters. Federal income tax audits have been settled for all years prior to 2018. The Internal Revenue Service is currently auditing the 2018-2020 tax years. We are also subject to examination in major state and international jurisdictions for the 2010-2022 tax years. We believe appropriate provisions for all outstanding tax issues have been made for all jurisdictions and all open years. Audit outcomes and the timing of audit settlements are subject to significant uncertainty. It is reasonably possible that within the next 12 months, unrecognized tax benefits related to federal tax matters under audit may decrease by up to $620 based on current estimates. The Organization for Economic Co-operation and Development has issued Pillar Two model rules introducing a new global minimum tax of 15% intended to be effective on January 1, 2024. While the US has not yet adopted the Pillar Two rules, various other governments around the world are enacting legislation. As currently designed, Pillar Two will ultimately apply to our worldwide operations. Considering we do not have material operations in jurisdictions with tax rates lower than the Pillar Two minimum, these rules are not expected to materially increase our global tax costs. There remains uncertainty as to the final Pillar Two model rules. We will continue to monitor US and global legislative action related to Pillar Two for potential impacts.</t>
  </si>
  <si>
    <t>Accounts Receivable, net</t>
  </si>
  <si>
    <t>Accounts Receivable, after Allowance for Credit Loss [Abstract]</t>
  </si>
  <si>
    <t>Accounts Receivable, net Accounts receivable, net at December 31 consisted of the following: 2023 2022 U.S. government contracts (1) $970 $800 Commercial Airplanes 57 293 Global Services (2) 1,526 1,390 Defense, Space, &amp; Security (2) 160 145 Other 25 5 Less valuation allowance (89) (116) Total $2,649 $2,517 (1) Includes foreign military sales through the U.S. government (2) Excludes U.S. government contracts</t>
  </si>
  <si>
    <t>Allowance for Losses on Financial Assets</t>
  </si>
  <si>
    <t>Credit Loss [Abstract]</t>
  </si>
  <si>
    <t>Allowances for Losses on Financial Assets</t>
  </si>
  <si>
    <t>Allowances for Losses on Financial Assets The change in allowances for expected credit losses for the years ended December 31, 2023 and 2022 consisted of the following: Accounts receivable Unbilled receivables Other Current Assets Financing receivables Other Assets Total Balance at January 1, 2022 ($390) ($91) ($62) ($18) ($186) ($747) Changes in estimates 2 21 (27) (37) (35) (76) Write-offs 260 47 4 133 444 Recoveries 12 12 Balance at December 31, 2022 ($116) ($23) ($85) ($55) ($88) ($367) Balance at January 1, 2023 ($116) ($23) ($85) ($55) ($88) ($367) Changes in estimates (6) 4 30 4 (34) (2) Write-offs 29 5 34 Recoveries 4 4 Balance at December 31, 2023 ($89) ($19) ($50) ($51) ($122) ($331)</t>
  </si>
  <si>
    <t>Inventory Disclosure [Abstract]</t>
  </si>
  <si>
    <t>Inventories Inventories at December 31 consisted of the following: 2023 2022 Commercial aircraft programs $68,683 $67,702 Long-term contracts in progress 686 582 Capitalized precontract costs (1) 946 794 Commercial spare parts, used aircraft, general stock materials and other 9,426 9,073 Total $79,741 $78,151 (1) Capitalized precontract costs at December 31, 2023 and 2022 includes amounts related to KC-46A Tanker, Commercial Crew, and T-7A Red Hawk Production Options. See Note 13. Commercial Aircraft Programs At December 31, 2023 and 2022, commercial aircraft programs inventory included the following amounts related to the 737 program: deferred production costs of $6,011 and $2,955 and unamortized tooling and other non-recurring costs of $792 and $626. At December 31, 2023, $6,767 of 737 deferred production costs, unamortized tooling and other non-recurring costs are expected to be recovered from units included in the program accounting quantity that have firm orders, and $36 is expected to be recovered from units included in the program accounting quantity that represent expected future orders. At December 31, 2023 and 2022, commercial aircraft programs inventory included the following amounts related to the 777X program: $4,638 and $4,059 of work in process, $1,792 and $1,330 of deferred production costs, and $4,063 and $3,774 of unamortized tooling and other non-recurring costs. In April 2022, we decided to pause production of the 777X-9 during 2022 and 2023, which resulted in abnormal production costs of $513 and $325 during the years ended December 31, 2023 and 2022. In the fourth quarter of 2023, the 777X program resumed production. At December 31, 2023 and 2022, commercial aircraft programs inventory included the following amounts related to the 787 program: deferred production costs of $12,384 and $12,689, $1,764 and $1,831 of supplier advances, and $1,480 and $1,722 of unamortized tooling and other non-recurring costs. At December 31, 2023, $12,384 of 787 deferred production costs, unamortized tooling and other non-recurring costs are expected to be recovered from units included in the program accounting quantity that have firm orders, and $1,480 is expected to be recovered from units included in the program accounting quantity that represent expected future orders. We produced at abnormally low production rates resulting in abnormal production costs that were expensed as incurred from the third quarter of 2021 through the third quarter of 2023. We expensed abnormal production costs of $1,014, $1,240, and $468 during the years ended December 31, 2023, 2022 and 2021. The remaining abnormal costs associated with rework are not expected to be significant. Commercial aircraft programs inventory included amounts credited in cash or other consideration (early issue sales consideration) to airline customers totaling $4,126 and $3,586 at December 31, 2023 and 2022.</t>
  </si>
  <si>
    <t>Contracts with Customers</t>
  </si>
  <si>
    <t>Contracts with Customers [Abstract]</t>
  </si>
  <si>
    <t>Contracts with Customers Unbilled receivables decreased from $8,634 at December 31, 2022 to $8,317 at December 31, 2023, primarily driven by an increase in billings at BDS and BGS. The following table summarizes our contract assets under long-term contracts that were unbillable or related to outstanding claims as of December 31: Unbilled Claims 2023 2022 2023 2022 Current $6,565 $6,478 $6 Expected to be collected after one year 1,771 2,179 40 $16 Less valuation allowance (19) (23) Total $8,317 $8,634 $46 $16 Unbilled receivables related to commercial customer incentives expected to be collected after one year were $42 and $117 at December 31, 2023 and 2022. Unbilled receivables related to claims are items that we believe are earned, but are subject to uncertainty concerning their determination or ultimate realization. Advances and progress billings increased from $53,081 at December 31, 2022 to $56,328 at December 31, 2023, primarily driven by advances on orders received at BCA, partially offset by revenue recognized at BDS. Revenues recognized for the years ended December 31, 2023 and 2022 from amounts recorded as Advances and progress billings at the beginning of each year were $15,298 and $12,087.</t>
  </si>
  <si>
    <t>Customer Financing</t>
  </si>
  <si>
    <t>Financing Receivables and Operating Lease Equipment [Abstract]</t>
  </si>
  <si>
    <t>Financing Receivables and Operating Lease Equipment</t>
  </si>
  <si>
    <t>Financing Receivables and Operating Lease Equipment Financing receivables and operating lease equipment, net consisted of the following at December 31: 2023 2022 Financing receivables: Investment in sales-type leases $556 $804 Notes 102 385 Total financing receivables 658 1,189 Less allowance for losses on receivables 51 55 Financing receivables, net 607 1,134 Operating lease equipment, at cost, less accumulated depreciation of $70 and $76 352 470 Total $959 $1,604 Financing arrangements typically range in terms from 1 to 12 years and may include options to extend or terminate. Certain leases include provisions to allow the lessee to purchase the underlying aircraft at a specified price. At December 31, 2023 and 2022, $44 and $405 were determined to be uncollectible financing receivables and placed on non-accrual status. The allowance for losses on receivables remained largely unchanged during the year ended December 31, 2023. The components of investment in sales-type leases at December 31 were as follows: 2023 2022 Gross lease payments receivable $697 $924 Unearned income (162) (206) Net lease payments receivable 535 718 Unguaranteed residual assets 21 86 Total $556 $804 Financing interest income received for the years ended December 31, 2023 and 2022 was $108 and $13. Financing receivables that were past due as of December 31, 2023 totaled $9. Our financing receivable balances at December 31, 2023 by internal credit rating category and year of origination consisted of the following: Rating categories Current 2022 2021 2020 2019 Prior Total BBB $13 $13 BB $73 $32 $198 $103 $36 53 495 B 12 94 106 CCC 35 9 44 Total carrying value of financing receivables $73 $32 $233 $103 $48 $169 $658 At December 31, 2023, our allowance for losses related to receivables with ratings of CCC, B, BB and BBB. We applied default rates that averaged 100.0%, 0.0%, 2.4% and 0.1%, respectively, to the exposure associated with those receivables. Financing Receivables Exposure The majority of our financing receivables and operating lease equipment portfolio is concentrated in the following aircraft models at December 31: 2023 2022 717 Aircraft ($0 and $45 accounted for as operating leases) $478 $563 747-8 Aircraft (Accounted for as sales-type leases) 129 394 737 Aircraft ($148 and $174 accounted for as operating leases) 156 186 777 Aircraft ($194 and $209 accounted for as operating leases) 194 209 MD-80 Aircraft (Accounted for as sales-type leases) 96 757 Aircraft (Accounted for as sales-type leases) 107 747-400 Aircraft (Accounted for as sales-type leases) 43 46 Operating lease equipment primarily includes large commercial jet aircraft. Impairment charges related to operating lease assets were $0, $7, and $31 for the years ended December 31, 2023, 2022 and 2021. Lease income recorded in Sales of services on the Consolidated Statements of Operations for the years ended December 31, 2023, 2022 and 2021 included $55, $69, and $54 of interest income from sales-type leases, and $60, $65, and $68 from operating lease As of December 31, 2023, undiscounted cash flows for notes receivable, sales-type and operating leases over the next five years and thereafter are as follows: Notes receivable Sales-type leases Operating leases Year 1 $17 $149 $69 Year 2 9 102 61 Year 3 10 109 52 Year 4 11 127 47 Year 5 12 137 45 Thereafter 43 73 48 Total financing receipts 102 697 322 Less imputed interest (162) Estimated unguaranteed residual values 21 Total $102 $556 $322 At December 31, 2023 and December 31, 2022, unguaranteed residual values were $21 and $86.</t>
  </si>
  <si>
    <t>Property, Plant and Equipment</t>
  </si>
  <si>
    <t>Property, Plant and Equipment [Abstract]</t>
  </si>
  <si>
    <t>Property, Plant and Equipment Property, plant and equipment at December 31 consisted of the following: 2023 2022 Land $377 $376 Buildings and land improvements 14,795 14,404 Machinery and equipment 16,055 15,844 Construction in progress 1,679 1,368 Gross property, plant and equipment 32,906 31,992 Less accumulated depreciation (22,245) (21,442) Total $10,661 $10,550 Depreciation expense was $1,328, $1,396 and $1,488 for 2023, 2022 and 2021, respectively. Interest capitalized in 2023, 2022 and 2021 totaled $101, $89 and $76, respectively. During 2023 and 2022, we acquired $124 and $101 of property, plant and equipment through non-cash investing and financing transactions. Accounts payable related to purchases of property, plant and equipment were $498 and $396 for the years ended December 31, 2023 and 2022.</t>
  </si>
  <si>
    <t>Investments [Abstract]</t>
  </si>
  <si>
    <t xml:space="preserve">Investments Our investments, which are recorded in Short-term and other investments or Investments, consisted of the following at December 31: 2023 2022 Time deposits (1) $2,753 $2,093 Equity method investments (2) 966 948 Available-for-sale debt investments (1) 499 479 Equity and other investments 69 36 Restricted cash &amp; cash equivalents (1)(3) 22 33 Total $4,309 $3,589 (1) Included in Short-term and other investments on our Consolidated Statements of Financial Position. (2) Dividends received were $31 and $111 during 2023 and 2022. Retained earnings at December 31, 2023 include undistributed earnings from our equity method investments of $110. (3) Reflects amounts restricted in support of our property sales, workers’ compensation programs and insurance premiums. Contributions to investments and Proceeds from investments on our Consolidated Statements of Cash Flows primarily relate to time deposits and available-for-sale debt investments. Cash used for the purchase of time deposits during 2023, 2022 and 2021 was $15,794, $4,358 and $34,905, respectively. Cash proceeds from the maturities of time deposits during 2023, 2022 and 2021 were $15,140, $9,943 and $44,372, respectively. Allowance for losses on available-for-sale debt investments are assessed quarterly. All instruments are considered investment grade, and we have not recognized an allowance for credit losses as of December 31, 2023. Equity Method Investments Our equity method investments consisted of the following at December 31: Segment Ownership Percentages Investment Balance 2023 2022 United Launch Alliance BDS 50% $582 $587 Other BCA, BDS, BGS and Other 384 361 Total equity method investments $966 $948 </t>
  </si>
  <si>
    <t>Leases</t>
  </si>
  <si>
    <t>Leases [Abstract]</t>
  </si>
  <si>
    <t>Leases Our operating lease assets primarily represent manufacturing and research and development facilities, warehouses and offices. Total operating lease expense was $457 and $421 for the years ended December 31, 2023 and 2022, of which $76 and $75 was attributable to variable lease expenses. For the years ended December 31, 2023 and 2022, cash payments against operating lease liabilities totaled $323 and $294 and non-cash transactions totaled $488 and $245 to recognize operating assets and liabilities for new leases. Supplemental Consolidated Statement of Financial Position information related to leases consisted of the following at December 31: 2023 2022 Operating leases: Operating lease right-of-use assets $1,690 $1,451 Current portion of lease liabilities 296 276 Non-current portion of lease liabilities 1,518 1,305 Total operating lease liabilities $1,814 $1,581 Weighted average remaining lease term (years) 11 12 Weighted average discount rate 3.21% 4.13% Operating lease assets are included in Other assets, net, with the related liabilities included in Accrued liabilities and Other long-term liabilities. Maturities of operating lease liabilities for the next five years are as follows: Operating leases 2024 $358 2025 317 2026 279 2027 230 2028 182 Thereafter 1,032 Total lease payments 2,398 Less imputed interest (584) Total $1,814 As of December 31, 2023, we have entered into leases that have not yet commenced of $430, primarily for a maintenance, repair and overhaul hangar that will support military aircraft programs. These leases will commence in 2024 with lease terms of 2 years to 27 years.</t>
  </si>
  <si>
    <t>Liabilities, Commitments and Contingencies</t>
  </si>
  <si>
    <t>Commitments and Contingencies Disclosure [Abstract]</t>
  </si>
  <si>
    <t>Liabilities, Commitments and Contingencies Accrued Liabilities Accrued liabilities at December 31 consisted of the following: 2023 2022 Accrued compensation and employee benefit costs $6,721 $6,351 737 MAX customer concessions and other considerations 1,327 1,864 Other customer concessions and considerations 1,300 1,102 Environmental 844 752 Product warranties 2,448 2,275 Forward loss recognition 4,699 4,060 Accrued interest payable 652 599 Current portion of lease liabilities 296 276 Current portion of retiree healthcare and pension liabilities 473 494 Other 3,571 3,808 Total $22,331 $21,581 737 MAX Customer Concessions and Other Considerations The following table summarizes changes in the 737 MAX customer concessions and other considerations liability during 2023 and 2022. 2023 2022 Beginning balance – January 1 $1,864 $2,940 Reductions for payments made (449) (1,031) Reductions for concessions and other in-kind considerations (61) (29) Changes in estimates (27) (16) Ending balance – December 31 $1,327 $1,864 At December 31, 2023, $0.1 billion of the liability balance remains subject to negotiations with customers. We expect to pay $0.6 billion in 2024 while the remaining amounts are expected to be liquidated by lower customer delivery payments. Environmental The following table summarizes changes in environmental remediation liabilities during the years ended December 31, 2023 and 2022. 2023 2022 Beginning balance – January 1 $752 $605 Reductions for payments made, net of recoveries (79) (43) Changes in estimates 171 190 Ending balance – December 31 $844 $752 The liabilities recorded represent our best estimate or the low end of a range of reasonably possible costs expected to be incurred to remediate sites, including operation and maintenance over periods of up to 30 years. It is reasonably possible that we may incur costs that exceed these recorded amounts because of regulatory agency orders and directives, changes in laws and/or regulations, higher than expected costs and/or the discovery of new or additional contamination. As part of our estimating process, we develop a range of reasonably possible alternate scenarios that includes the high end of a range of reasonably possible cost estimates for all remediation sites for which we have sufficient information based on our experience and existing laws and regulations. There are some potential remediation obligations where the costs of remediation cannot be reasonably estimated. At December 31, 2023 and 2022, the high end of the estimated range of reasonably possible remediation costs exceeded our recorded liabilities by $1,030 and $1,058. Product Warranties The following table summarizes changes in product warranty liabilities recorded during the years ended December 31, 2023 and 2022. 2023 2022 Beginning balance – January 1 $2,275 $1,900 Additions for current year deliveries 164 202 Reductions for payments made (320) (403) Changes in estimates 329 576 Ending balance – December 31 $2,448 $2,275 Commercial Aircraft Trade-In Commitments In conjunction with signing definitive agreements for the sale of new aircraft, we have entered into trade-in commitments with certain customers that give them the right to trade in used aircraft at a specified price. The probability that trade-in commitments will be exercised is determined by using both quantitative information from valuation sources and qualitative information from other sources. The probability of exercise is assessed quarterly, or as events trigger a change, and takes into consideration the current economic and airline industry environments. Trade-in commitments, which can be terminated by mutual consent with the customer, may be exercised only during the period specified in the agreement and require advance notice by the customer. Trade-in commitment agreements at December 31, 2023 have expiration dates from 2024 through 2030. At December 31, 2023 and 2022, total contractual trade-in commitments were $1,415 and $1,117. As of December 31, 2023 and 2022, we estimated that it was probable we would be obligated to perform on certain of these commitments with net amounts payable to customers totaling $407 and $286, and the fair value of the related trade-in aircraft was $407 and $286. Financing Commitments Financing commitments related to aircraft on order, including options and those proposed in sales campaigns, and refinancing of delivered aircraft, totaled $17,003 and $16,105 as of December 31, 2023 and 2022. The estimated earliest potential funding dates for these commitments as of December 31, 2023 are as follows: Total 2024 $1,946 2025 3,098 2026 4,829 2027 2,421 2028 1,641 Thereafter 3,068 $17,003 As of December 31, 2023, all of these financing commitments relate to customers we believe have less than investment-grade credit. We have concluded that no reserve for future potential losses is required for these financing commitments based upon the terms, such as collateralization and interest rates, under which funding would be provided. Other Financial Commitments We have financial commitments to make additional capital contributions totaling $264 related to certain joint ventures over the next nine years. Standby Letters of Credit and Surety Bonds We have entered into standby letters of credit and surety bonds with financial institutions primarily relating to the guarantee of our future performance on certain contracts and security agreements. Contingent liabilities on outstanding letters of credit agreements and surety bonds aggregated approximately $4,548 and $5,070 as of December 31, 2023 and 2022. Company Owned Life Insurance McDonnell Douglas Corporation insured its executives with Company Owned Life Insurance (COLI), which are life insurance policies with a cash surrender value. Although we do not use COLI currently, these obligations from the merger with McDonnell Douglas are still a commitment at this time. We have loans in place to cover costs paid or incurred to carry the underlying life insurance policies. As of December 31, 2023 and 2022, the cash surrender value was $360 and $376 and the total loans were $334 and $346. As we have the right to offset the loans against the cash surrender value of the policies, we present the net asset in Other assets on the Consolidated Statements of Financial Position as of December 31, 2023 and 2022. Supply Chain Financing Programs The Company has supply chain financing programs in place under which participating suppliers may elect to obtain payment from an intermediary. The Company confirms the validity of invoices from participating suppliers and agrees to pay the intermediary an amount based on invoice totals. The majority of amounts payable under these programs are due within 30 to 90 days but may extend up to 12 months. At December 31, 2023 and 2022, Accounts payable included $2.9 billion and $2.5 billion payable to suppliers who have elected to participate in these programs. We do not believe that future changes in the availability of supply chain financing would have a significant impact on our liquidity. Government Assistance Certain states and localities in which we operate offer or have offered various business incentives related to investment and/or job creation. Between 2010 and 2016, we received cash grants totaling $346 related to our investment in operations in South Carolina. The grants were recorded in Accrued liabilities and are being amortized, primarily to inventory, over the useful life of the Property, plant and equipment extending through 2052. During 2023 and 2022, we amortized $10 and $11 to Inventories, and recorded a benefit of $12 and $5 in cost of sales. At December 31, 2023 and 2022, Inventories included a benefit of $62 and $64 and Accrued liabilities included a balance of $97 and $106. We are eligible to claim tax refunds from the State of Missouri and City of Irving, Texas primarily related to job creation and retention through 2031. During 2023 and 2022, we received $22 and $30 in cash and recorded a benefit of $28 and $21 in cost of sales. At December 31, 2023 and 2022, Other current assets includes receivables of $26 and $20. As of December 31, 2023, $60 of refunds, plus interest, is subject to clawback if we fail to meet certain conditions, including employment levels. We are eligible to claim cash grants through 2032 of up to $62, related to operations in Queensland, Australia. During 2023 and 2022, $5 and $7 cash was received and recorded as a benefit in cost of sales. At December 31, 2023, $4 is subject to clawback if we fail to meet certain conditions, including employment levels. Industrial Revenue Bonds (IRB) issued by St. Louis County and the city of St. Charles, Missouri were used to finance the purchase and/or construction of real and personal property at our St. Louis and St. Charles sites. Tax benefits associated with IRBs include twelve-year property tax abatements and sales tax exemptions from St. Louis County and a 22 year property tax abatement and sales tax exemption from the city of St. Charles. We record these properties on our Consolidated Statements of Financial Position. We have also purchased the IRBs, and therefore, are the bondholders as well as the borrower/lessee of the properties purchased with the IRB proceeds. The liabilities and IRB assets are equal and are reported net in the Consolidated Statements of Financial Position. As of December 31, 2023 and 2022, the assets and liabilities associated with the IRBs were $333 and $271. Recoverable Costs on Government Contracts Our final incurred costs for each year are subject to audit and review for allowability by the U.S. government, which can result in payment demands related to costs they believe should be disallowed. We work with the U.S. government to assess the merits of claims and where appropriate reserve for amounts disputed. If we are unable to satisfactorily resolve disputed costs, we could be required to record an earnings charge and/or provide refunds to the U.S. government. Fixed-Price Contracts Long-term contracts that are contracted on a fixed-price basis could result in losses in future periods. Certain of the fixed-price contracts are for the development of new products, services and related technologies. This development work scope is inherently uncertain and subject to significant variability in estimates of the cost and time required to complete the work by us and our suppliers. The operational and technical complexities of fixed-price development contracts create financial risk, which could trigger additional earnings charges, termination provisions, order cancellations, or other financially significant exposure. VC-25B Presidential Aircraft The Company’s firm fixed-price contract for the Engineering and Manufacturing Development (EMD) effort on the U.S. Air Force’s (USAF) VC-25B Presidential Aircraft, commonly known as Air Force One, is a $4 billion program to develop and modify two 747-8 commercial aircraft. During 2022, we increased the reach-forward loss on the contract by $1,452. This year we made progress completing engineering and production requirements. During 2023, we increased the reach-forward loss on the contract by $482 driven by engineering changes to support the build and installation process; the resolution of supplier negotiations; and factory performance related to labor instability. While we have provisioned for all of our anticipated costs to complete the contract, risk remains that we may record additional losses in future periods. KC-46A Tanker In 2011, we were awarded a contract from the USAF to design, develop, manufacture, and deliver four next generation aerial refueling tankers as well as priced options for 13 annual production lots totaling 179 aircraft. Since 2016, the USAF has authorized ten low rate initial production (LRIP) lots for a total of 139 aircraft, including lots 9 and 10 that were authorized in 2023. The EMD contract and authorized LRIP lots total approximately $27 billion as of December 31, 2023. During 2022, we increased the reach-forward loss on the KC-46A Tanker program by $1,374. During 2023, we increased the reach-forward loss on the KC-46A Tanker program by $309 primarily resulting from factory disruption and additional rework due to a supplier quality issue. As of December 31, 2023, we had approximately $125 of capitalized precontract costs and $48 of potential termination liabilities to suppliers related to unexercised future lots. Risk remains that we may record additional losses in future periods. MQ-25 In the third quarter of 2018, we were awarded the MQ-25 EMD contract by the U.S. Navy. The contract is a fixed-price contract that now includes development and delivery of seven aircraft and test articles at a contract price of $890. In connection with winning the competition, we recognized a reach-forward loss of $291 in the third quarter of 2018. During 2022, we increased the MQ-25 reach-forward loss by $579. During 2023, we increased the reach-forward loss by $231 primarily driven by production and flight testing delays as well as higher than anticipated production costs to complete EMD aircraft attributable to recent factory performance. Risk remains that we may record additional losses in future periods. T-7A Red Hawk EMD Contract &amp; Production Options In 2018, we were awarded the T-7A Red Hawk program. The EMD portion of the contract is a $860 fixed-price contract and includes five aircraft and seven simulators. During the year ended December 31, 2022, we recorded earnings charges of $203 related to the T-7A Red Hawk fixed-price EMD contract, which had a reach-forward loss at December 31, 2022. The production portion of the contract includes 11 production lots for aircraft and related services for 346 T-7A Red Hawk aircraft that we believe are probable of being exercised. We expect the first production and support contract option to be exercised in 2025. During 2022, we increased the reach-forward loss by $552. During 2023, we increased the reach-forward loss by $275 primarily reflecting higher estimated production costs. At December 31, 2023, we had approximately $185 of capitalized precontract costs and $249 of potential termination liabilities to suppliers related to future production lots. Risk remains that we may record additional losses in future periods. Commercial Crew National Aeronautics and Space Administration (NASA) has contracted us to design and build the CST-100 Starliner spacecraft to transport crews to the International Space Station and in the second quarter of 2022 we successfully completed the uncrewed Orbital Flight Test. During 2022, we increased the reach-forward loss by $288. During 2023, we also increased the reach-forward loss by $288 primarily as a result of delaying the crewed flight test previously scheduled for July 2023 following notification by a parachute supplier of an issue identified through testing. A crewed flight test is now planned for April 2024. At December 31, 2023, we had approximately $226 of capitalized precontract costs and $160 of potential termination liabilities to suppliers related to unauthorized future missions. Risk remains that we may record additional losses in future periods.</t>
  </si>
  <si>
    <t>Arrangements with Off-Balance Sheet Risk</t>
  </si>
  <si>
    <t>Guarantees [Abstract]</t>
  </si>
  <si>
    <t>Arrangements with Off-Balance Sheet Risk We enter into arrangements with off-balance sheet risk in the normal course of business, primarily in the form of guarantees. The following table provides quantitative data regarding our third party guarantees. The maximum potential payments represent a “worst-case scenario” and do not necessarily reflect amounts that we expect to pay. The carrying amount of liabilities represents the amount included in Accrued liabilities. Maximum Estimated Carrying December 31, 2023 2022 2023 2022 2023 2022 Contingent repurchase commitments $404 $514 $404 $514 Credit guarantees 15 45 $14 $27 Contingent Repurchase Commitments In conjunction with signing a definitive agreement for the sale of commercial aircraft, we have entered into contingent repurchase commitments with certain customers wherein we agree to repurchase the sold aircraft at a specified price, generally 10 to 15 years after delivery. Our repurchase of the aircraft is contingent upon entering into a mutually acceptable agreement for the sale of additional new aircraft in the future. The commercial aircraft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If a future sale agreement is reached and a customer elects to exercise its right under a contingent repurchase commitment, the contingent repurchase commitment becomes a trade-in commitment. Our historical experience is that contingent repurchase commitments infrequently become trade-in commitments. Credit Guarantees We have issued credit guarantees where we are obligated to make payments to a guaranteed party in the event that the original lessee or debtor does not make payments or perform certain specified services. Generally, these guarantees have been extended on behalf of guaranteed parties with less than investment-grade credit. Current outstanding credit guarantees expire through 2036. Other Indemnifications In conjunction with our sales of Electron Dynamic Devices, Inc. and Rocketdyne Propulsion and Power businesses and our BCA facilities in Wichita, Kansas and Tulsa and McAlester, Oklahoma, we agreed to indemnify, for an indefinite period, the buyers for costs relating to pre-closing environmental conditions and certain other items. We are unable to assess the potential number of future claims that may be asserted under these indemnifications, nor the amounts thereof (if any). As a result, we cannot estimate the maximum potential amount of future payments under these indemnities. To the extent that claims have been made under these indemnities and/or are probable and reasonably estimable, liabilities associated with these indemnities are included in the environmental liability disclosure in Note 13.</t>
  </si>
  <si>
    <t>Debt</t>
  </si>
  <si>
    <t>Debt Disclosure [Abstract]</t>
  </si>
  <si>
    <t xml:space="preserve">Debt In the third quarter of 2023, we entered into a $3,000 five-year revolving credit agreement expiring in August 2028 and a $800 364-day revolving credit agreement expiring in August 2024. The 364-day credit facility has a one-year term out option which allows us to extend the maturity of any borrowings until August 2025. The legacy three-year revolving credit agreement expiring in August 2025, which consists of $3,000 of total commitments, and the legacy five-year revolving credit agreement expiring in October 2024, as amended, which consists of $3,200 of total commitments, each remain in effect. As of December 31, 2023, we had $10,000 currently available under credit line agreements. We continue to be in full compliance with all covenants contained in our debt or credit facility agreements. Interest incurred, including amounts capitalized, was $2,560, $2,650 and $2,790 for the years ended December 31, 2023, 2022 and 2021, respectively. Total Company interest payments, net of amounts capitalized, were $2,408, $2,572 and $2,583 for the years ended December 31, 2023, 2022 and 2021, respectively. Short-term debt and current portion of long-term debt at December 31 consisted of the following: 2023 2022 Unsecured debt $5,072 $5,103 Finance lease obligations 77 65 Other notes 55 22 Total $5,204 $5,190 Debt at December 31 consisted of the following: 2023 2022 Unsecured debt 1.17% - 2.50% due through 2026 $10,135 11,846 2.60% - 3.20% due through 2030 6,071 6,412 3.25% - 3.90% due through 2059 9,584 9,576 3.95% - 5.15% due through 2059 11,024 14,035 5.71% - 6.63% due through 2060 13,015 13,011 6.88% - 8.75% due through 2043 1,855 1,854 Other debt and notes Finance lease obligations due through 2044 253 206 Other notes 370 61 Total debt $52,307 $57,001 Scheduled principal payments for debt and minimum finance lease obligations for the next five years are as follows: 2024 2025 2026 2027 2028 Debt and other notes $5,128 $4,581 $7,983 $3,300 $1,800 Minimum finance lease obligations $84 $76 $55 $24 $3 </t>
  </si>
  <si>
    <t>Postretirement Plans</t>
  </si>
  <si>
    <t>Retirement Benefits, Description [Abstract]</t>
  </si>
  <si>
    <t>Postretirement Plans Many of our employees have earned benefits under defined benefit pension plans. The majority of employees that had participated in defined benefit pension plans have transitioned to a company-funded defined contribution retirement savings plan. We fund our major pension plans through trusts. Pension assets are placed in trust solely for the benefit of the plans’ participants and are structured to maintain liquidity that is sufficient to pay benefit obligations as well as to keep pace over the long-term with the growth of obligations for future benefit payments. We also have other postretirement benefits (OPB) other than pensions which consist principally of health care coverage for eligible retirees and qualifying dependents, and to a lesser extent, life insurance to certain groups of retirees. Retiree health care is provided principally until age 65 for approximately three-fourths of those participants who are eligible for retiree health care coverage. Certain employee groups, including employees covered by most United Auto Workers bargaining agreements, are provided lifetime health care coverage. The funded status of the plans is measured as the difference between the plan assets at fair value and the projected benefit obligation (PBO). We have recognized the aggregate of all overfunded plans in Other assets and the aggregate of all underfunded plans in either Accrued retiree health care or Accrued pension plan liability, net. The portion of the amount by which the actuarial present value of benefits included in the PBO exceeds the fair value of plan assets, payable in the next 12 months, is reflected in Accrued liabilities. The components of net periodic benefit (income)/cost were as follows: Pension Other Postretirement Benefits Years ended December 31, 2023 2022 2021 2023 2022 2021 Service cost $2 $3 $3 $49 $72 $87 Interest cost 2,820 2,080 1,988 148 98 97 Expected return on plan assets (3,441) (3,789) (3,848) (9) (10) (7) Amortization of prior service credits (81) (81) (80) (22) (35) (35) Recognized net actuarial loss/(gain) 173 913 1,219 (175) (111) (56) Settlement/curtailment (gain)/loss (4) 193 Net periodic benefit (income)/cost ($527) ($878) ($525) ($9) $14 $86 Net periodic benefit cost included in Loss from operations $2 $3 $3 $62 $79 $90 Net periodic benefit income included in Other income, net (529) (881) (528) (58) (58) (1) Net periodic benefit (income)/cost included in Loss before income taxes ($527) ($878) ($525) $4 $21 $89 The following tables show changes in the benefit obligation, plan assets and funded status of both pensions and OPB for the years ended December 31, 2023 and 2022. Benefit obligation balances presented below reflect the PBO for our pension plans and accumulated postretirement benefit obligations (APBO) for our OPB plans. Pension Other Postretirement Benefits 2023 2022 2023 2022 Change in benefit obligation Beginning balance $55,117 $75,635 $2,978 $4,092 Service cost 2 3 49 72 Interest cost 2,820 2,080 148 98 Amendments 1 Actuarial loss/(gain) 1,217 (17,605) (152) (914) Gross benefits paid (4,837) (4,971) (375) (406) Subsidies 2 39 Exchange rate adjustment 6 (26) 1 (3) Ending balance $54,325 $55,117 $2,651 $2,978 Change in plan assets Beginning balance at fair value $49,825 $67,813 $140 $172 Actual return on plan assets 3,756 (13,141) 23 (27) Company contribution 2 Plan participants’ contributions 4 6 Benefits paid (4,698) (4,824) (4) (11) Exchange rate adjustment 8 (25) Ending balance at fair value $48,891 $49,825 $163 $140 Amounts recognized in statement of financial position at December 31 consist of: Other assets $1,219 $987 $81 $21 Accrued liabilities (137) (138) (336) (356) Accrued retiree health care (2,233) (2,503) Accrued pension plan liability, net (6,516) (6,141) Net amount recognized ($5,434) ($5,292) ($2,488) ($2,838) Amounts recognized in Accumulated other comprehensive loss (AOCI) at December 31 were as follows: Pension Other Postretirement Benefits 2023 2022 2023 2022 Net actuarial loss/(gain) $18,175 $17,448 ($1,852) ($1,862) Prior service credits (1,143) (1,224) (19) (41) Total recognized in AOCI $17,032 $16,224 ($1,871) ($1,903) The accumulated benefit obligation (ABO) for all pension plans was $53,671 and $54,481 at December 31, 2023 and 2022. Key information for our plans with ABO and PBO in excess of plan assets as of December 31 was as follows: 2023 2022 Accumulated benefit obligation $47,665 $48,134 Fair value of plan assets 41,666 42,491 2023 2022 Projected benefit obligation $48,320 $48,770 Fair value of plan assets 41,666 42,491 Assumptions The following assumptions, which are the weighted average for all plans, are used to calculate the benefit obligation at December 31 of each year and the net periodic benefit cost for the subsequent year. December 31, 2023 2022 2021 Discount rate: Pension 5.10 % 5.40 % 2.80 % Other postretirement benefits 5.00 % 5.30 % 2.50 % Expected return on plan assets 6.00 % 6.00 % 6.30 % Rate of compensation increase 4.30 % 4.30 % 4.30 % Interest crediting rates for cash balance plans 5.00 % 5.00 % 5.00 % The discount rate for each plan is determined based on the plans’ expected future benefit payments using a yield curve developed from high quality bonds that are rated as Aa or better by at least half of the four rating agencies utilized as of the measurement date. The yield curve is fitted to yields developed from bonds at various maturity points. Bonds with the ten percent highest and the ten percent lowest yields are omitted. The present value of each plan’s benefits is calculated by applying the discount rates to projected benefit cash flows. The pension fund’s expected return on plan assets assumption is derived from a review of actual historical returns achieved by the pension trust and anticipated future long-term performance of individual asset classes. While consideration is given to historical returns, the assumption represents a long-term, prospective return. The expected return on plan assets component of the net periodic benefit cost for the upcoming plan year is determined based on the expected return on plan assets assumption and the market-related value of plan assets (MRVA). Since our adoption of the accounting standard for pensions in 1987, we have determined the MRVA based on a five-year moving average of plan assets. As of December 31, 2023, the MRVA was approximately $8,466 more than the fair market value of assets. Assumed health care cost trend rates were as follows: December 31, 2023 2022 2021 Health care cost trend rate assumed next year 5.50 % 5.50 % 4.50 % Ultimate trend rate 4.50 % 4.50 % 4.50 % Year that trend reaches ultimate rate 2028 2028 2021 Plan Assets Investment Strategy The overall objective of our pension assets is to earn a rate of return over time to satisfy the benefit obligations of the pension plans and to maintain sufficient liquidity to pay benefits and address other cash requirements of the pension fund. Specific investment objectives for our long-term investment strategy include reducing the volatility of pension assets relative to pension liabilities, achieving a competitive total investment return, achieving diversification between and within asset classes and managing other risks. Investment objectives for each asset class are determined based on specific risks and investment opportunities identified. We periodically update our long-term, strategic asset allocations. We use various analytics to determine the optimal asset mix and consider plan liability characteristics, liquidity characteristics, funding requirements, expected rates of return and the distribution of returns. A key element of our strategy is to de-risk the plan as the funded status of the plan increases. During 2023, we completed a strategy review including an asset/liability study and, as a result, target allocations were updated with a modest increase to risk assets. The changes in the asset allocation are reflected in the table below. We identify investment benchmarks to evaluate performance for the asset classes in the strategic asset allocation that are market-based and investable where possible. Actual allocations to each asset class vary from target allocations due to periodic investment strategy changes, market value fluctuations, the length of time it takes to fully implement investment allocation positions, and the timing of benefit payments and contributions. Short-term investments and exchange-traded derivatives are used to rebalance the actual asset allocation to the target asset allocation. The asset allocation is monitored and rebalanced frequently. The actual and target allocations by asset class for the pension assets at December 31 were as follows: Actual Allocations Target Allocations Asset Class 2023 2022 2023 2022 Fixed income 60 % 63 % 59 % 63 % Global equity 19 14 20 20 Private equity 8 8 7 4 Real estate and real assets 7 8 7 7 Hedge funds 6 7 7 6 Total 100 % 100 % 100 % 100 % Fixed income securities are invested primarily in a diversified portfolio of long duration instruments as well as Emerging Market, Structured, High Yield and Private Debt. Global equity securities are invested in a diversified portfolio of U.S. and non-U.S. companies, across various industries and market capitalizations. Private equity investment vehicles are primarily limited partnerships (LPs) that mainly invest in U.S. and non-U.S. leveraged buyout, venture capital, growth and special situation strategies. Real estate and real assets include global private investments that may be held through investments in LPs or other fund structures. Real estate includes, but is not limited to, investments in office, retail, apartment and industrial properties. Real assets include, but are not limited to, investments in natural resources (such as energy, farmland and timber), commodities and infrastructure. Hedge fund investments seek to capitalize on inefficiencies identified across and within different asset classes or markets. Hedge fund strategy types include, but are not limited to, directional, event driven, relative value and long-short. Investment managers are retained for explicit investment roles specified by contractual investment guidelines. Certain investment managers are authorized to use derivatives, such as equity or bond futures, swaps, options and currency futures or forwards. Derivatives are used to achieve the desired market exposure of a security or an index, transfer value-added performance between asset classes, achieve the desired currency exposure, adjust portfolio duration or rebalance the total portfolio to the target asset allocation. As a percentage of total pension assets, derivative net notional amounts were 38.3% and 37.1% for fixed income, including to-be-announced mortgage-backed securities and treasury forwards, and 2.1% and (5.6%) for global equity and commodities at December 31, 2023 and 2022. In November 2020, the Company elected to contribute $3,000 of our common stock to the pension fund. An independent fiduciary was retained to manage and liquidate the stock over time at its discretion. At December 31, 2022, plan assets included $1,782 of our common stock, which was liquidated during 2023. Risk Management In managing the pension assets, we review and manage risk associated with funded status risk, interest rate risk, market risk, counterparty risk, liquidity risk and operational risk. Liability matching and asset class diversification are central to our risk management approach and are integral to the overall investment strategy. Further, asset classes are constructed to achieve diversification by investment strategy, by investment manager, by industry or sector and by holding. Investment manager guidelines for publicly traded assets are specified and are monitored regularly through the custodian. Credit parameters for counterparties have been established for managers permitted to trade over-the-counter derivatives. Valuation is governed through several types of procedures, including reviews of manager valuation policies, custodian valuation processes, pricing vendor practices, pricing reconciliation and periodic, security-specific valuation testing. Fair Value Measurements The following table presents our plan assets using the fair value hierarchy as of December 31, 2023 and 2022. The fair value hierarchy has three levels based on the reliability of the inputs used to determine fair value. Level 1 refers to fair values determined based on quoted prices in active markets for identical assets. Level 2 refers to fair values estimated using significant other observable inputs and Level 3 includes fair values estimated using significant unobservable inputs. December 31, 2023 December 31, 2022 Total Level 1 Level 2 Level 3 Total Level 1 Level 2 Level 3 Fixed income securities: Corporate $17,809 $17,750 $59 $15,095 $15,025 $70 U.S. government and agencies 6,822 6,822 7,827 7,827 Mortgage backed and asset backed 505 344 161 664 502 162 Municipal 816 816 843 811 32 Sovereign 720 720 706 706 Other 9 $6 3 8 $8 Derivatives: Assets 69 69 36 36 Liabilities (87) (87) Cash equivalents and other short-term investments 326 326 571 571 Equity securities: U.S. common and preferred stock 3,391 3,391 2,931 2,931 Non-U.S. common and preferred stock 2,204 2,204 2,023 2,023 Boeing company stock 1,782 1,782 Derivatives: Assets Liabilities (1) (1) Private equity Real estate and real assets: Real estate Real assets 385 349 33 3 362 310 47 5 Derivatives: Assets 1 1 Liabilities (8) (7) (1) Total $33,056 $5,950 $26,880 $226 $32,753 $7,054 $25,431 $268 Fixed income common/collective/pooled funds $1,378 $1,511 Fixed income other 1,364 832 Equity common/collective/ pooled funds 2,702 2,757 Private equity 4,102 4,239 Real estate and real assets 3,138 3,525 Hedge funds 2,751 3,391 Total investments measured at NAV as a practical expedient $15,435 $16,255 Cash $86 $409 Receivables 438 541 Payables (124) (133) Total $48,891 $49,825 Fixed income securities are primarily valued upon a market approach, using matrix pricing and considering a security’s relationship to other securities for which quoted prices in an active market may be available, or an income approach, converting future cash flows to a single present value amount. Inputs used in developing fair value estimates include reported trades, broker quotes, benchmark yields and base spreads. Common/collective/pooled funds are typically common or collective trusts valued at their net asset values (NAVs) that are calculated by the investment manager or sponsor of the fund and have daily or monthly liquidity. Derivatives included in the table above are over-the-counter and are primarily valued using an income approach with inputs that include benchmark yields, swap curves, cash flow analysis, rating agency data and interdealer broker rates. Exchange-traded derivative positions are reported in accordance with changes in daily variation margin which is settled daily and therefore reflected in the payables and receivables portion of the table. Cash equivalents and other short-term investments (which are used to pay benefits) are held in a separate account which consists of a commingled fund (with daily liquidity) and separately held short-term securities and cash equivalents. All of the investments in this cash vehicle are valued daily using a market approach with inputs that include quoted market prices for similar instruments. In the event a market price is not available for instruments with an original maturity of one year or less, amortized cost is used as a proxy for fair value. Common and preferred stock equity securities are primarily valued using a market approach based on the quoted market prices of identical instruments. Private equity and private debt NAV valuations are based on the valuation of the underlying investments, which include inputs such as cost, operating results, discounted future cash flows and market based comparable data. For those investments reported on a one-quarter lagged basis (primarily LPs) we use NAVs, adjusted for subsequent cash flows and significant events. Real estate and real asset NAVs are based on the valuation of the underlying investments, which include inputs such as cost, discounted future cash flows, independent appraisals and market based comparable data. For those investments reported on a one-quarter lagged basis (primarily LPs), NAVs are adjusted for subsequent cash flows and significant events. Publicly traded infrastructure stocks are valued using a market approach based on quoted market prices of identical instruments. Exchange-traded commodities futures positions are reported in accordance with changes in daily variation margin which is settled daily and therefore reflected in the payables and receivables portion of the table. Hedge fund NAVs are generally based on the valuation of the underlying investments. This is primarily done by applying a market or income valuation methodology depending on the specific type of security or instrument held. Investments in private equity, private debt, real estate, real assets and hedge funds are primarily calculated and reported by the General Partner, fund manager or third-party administrator. Additionally, some investments in fixed income and equity are made via commingled vehicles and are valued in a similar fashion. Pension assets invested in commingled and LP structures rely on the NAV of these investments as the practical expedient for the valuations. The following tables summarizes the changes of Level 3 assets, reconciled by asset class, held during the years ended December 31, 2023 and 2022. Transfers into and out of Level 3 are reported at the beginning-of-year values. January 1 Net Realized and Unrealized Gains/(Losses) Net Purchases, Issuances and Settlements Net Transfers Into/(Out of) Level 3 December 31 Fixed income securities: Corporate $70 $5 ($16) $59 U.S. government and (1) $1 Mortgage backed and asset backed 162 7 10 (18) 161 Municipal 32 (5) (27) Other 3 3 Real assets 4 (1) 3 Total $268 $14 ($12) ($44) $226 January 1 Net Realized and Unrealized Gains/(Losses) Net Purchases, Issuances and Settlements Net Transfers Into/(Out of) Level 3 December 31 Fixed income securities: Corporate $53 ($19) $3 $33 $70 Mortgage backed and asset backed 102 (11) 16 55 162 Municipal 29 (14) 9 8 32 Sovereign 9 (9) Equity securities: Non-U.S. common and preferred stock 5 (45) (2) 42 Real assets (1) 5 4 Total $198 ($90) $31 $129 $268 For the year ended December 31, 2023, the changes in unrealized gains/(losses) for Level 3 assets still held at December 31, 2023 were $2 for corporate fixed income securities, $6 for mortgage backed and asset backed fixed income securities, and $3 for other fixed income securities. For the year ended December 31, 2022, the changes in unrealized gains/(losses) for Level 3 assets still held at December 31, 2022 were ($16) for corporate fixed income securities, ($11) for mortgage backed and asset backed fixed income securities, ($14) for municipal fixed income securities, and ($1) for real asset securities. OPB Plan Assets The majority of OPB plan assets are invested in a balanced index fund which is comprised of approximately 60% equities and 40% debt securities. The index fund is valued using a market approach based on the quoted market price of an identical instrument (Level 1). The expected rate of return on these assets does not have a material effect on the net periodic benefit cost. Cash Flows Contributions Required pension contributions under the Employee Retirement Income Security Act (ERISA), as well as rules governing funding of our non-US pension plans, are not expected to be significant in 2024. We do not expect to make discretionary contributions to our pension plans in 2024. Estimated Future Benefit Payments The table below reflects the total pension benefits expected to be paid from the plans or from our assets, including both our share of the benefit cost and the participants’ share of the cost, which is funded by participant contributions. OPB payments reflect our portion only. Year(s) 2024 2025 2026 2027 2028 2029-2033 Pensions $4,524 $4,425 $4,345 $4,241 $4,143 $19,106 Other postretirement benefits: Gross benefits paid 358 341 319 295 269 1,004 Subsidies (12) (13) (13) (13) (13) (61) Net other postretirement benefits $346 $328 $306 $282 $256 $943 Termination Provisions Certain of the pension plans provide that, in the event there is a change in control of the Company which is not approved by the Board of Directors and the plans are terminated within five years thereafter, the assets in the plan first will be used to provide the level of retirement benefits required by ERISA, and then any surplus will be used to fund a trust to continue present and future payments under the postretirement medical and life insurance benefits in our group insurance benefit programs. Should we terminate certain pension plans under conditions in which the plan’s assets exceed that plan’s obligations, the U.S. government will be entitled to a fair allocation of any of the plan’s assets based on plan contributions that were reimbursed under U.S. government contracts. Defined Contribution Plans We provide certain defined contribution plans to all eligible employees. The principal plans are the Company-sponsored 401(k) plans. The expense for these defined contribution plans was $1,564, $1,260 and $1,268 in 2023, 2022 and 2021, respectively.</t>
  </si>
  <si>
    <t>Share-Based Compensation and Other Compensation Arrangements</t>
  </si>
  <si>
    <t>Share-Based Payment Arrangement [Abstract]</t>
  </si>
  <si>
    <t>Share-Based Compensation and Other Compensation Arrangements Share-Based Compensation Our 2023 Incentive Stock Plan, permits awards of incentive and non-qualified stock options, stock appreciation rights, restricted stock or units, performance restricted stock or units, and other stock and cash-based awards to our employees, officers, directors, consultants, and independent contractors. The aggregate number of shares of our stock authorized for issuance under the plan is 12,900,000, plus shares that remain available, undelivered, or retained under our 2003 Incentive Stock Plan, as amended and restated. Following approval of our 2023 Incentive Stock Plan in 2023, no further awards have been or may be granted under our 2003 Incentive Stock Plan. Shares issued as a result of stock option exercises or conversion of stock unit awards will be funded out of treasury shares, except to the extent there are insufficient treasury shares, in which case new shares will be issued. We believe we currently have adequate treasury shares to satisfy these issuances during 2024. Share-based plans expense is primarily included in Total costs and expenses and General and administrative expense, as well as a portion allocated to production as inventoried costs. The share-based plans expense and related income tax benefit were as follows: Years ended December 31, 2023 2022 2021 Restricted stock units and other awards $697 $726 $840 Income tax benefit (before consideration of valuation allowance) $157 $178 $148 Stock Options Options have been granted to our executive officers that are scheduled to vest and become exercisable three years after the grant date and expire ten years after the grant date. If an executive terminates employment because of retirement, layoff, disability, or death, the executive (or beneficiary) may receive some or all of their stock options depending on certain age and service conditions. The fair values of the stock options granted were estimated using a Monte-Carlo simulation model using the assumptions presented below. The model includes no expected dividend yield. Stock options granted during 2023 were not material. On February 16, 2022, we granted 348,769 premium-priced stock options to our executive officers as part of our long-term incentive program. These stock options have an exercise price equal to 120% of the fair market value of our stock on the date of grant. If certain performance measures are met, the exercise price is reduced to 110% of the grant date fair market value of our stock. On February 17, 2021, we granted 342,986 premium-priced stock options to our executive officers as part of our long-term incentive program. These stock options have an exercise price equal to 120% of the fair market value of our stock on the date of grant. During 2021, we also granted 148,322 stock options to certain executives, of which 40,322 had an exercise price equal to 120% of the fair market value of our stock on the date of grant, and the remaining 108,000 had an exercise price equal to the fair market value of our stock on the date of grant. The grant date fair market values of these awards were not significant. Grant Year Grant Date Expected Life Expected Volatility Risk Free Interest Rate Grant Date Fair Value Per Option 2022 2/16/2022 6.8 years 36.6 % 2.0 % $83.04 2021 2/17/2021 6.6 years 37.8 % 1.3 % $74.63 Options granted through January 2014 had an exercise price equal to the fair market value of our stock on the date of grant and expire 10 years after the date of grant. These stock options vested over a period of three Stock option activity for the year ended December 31, 2023 was as follows: Shares Weighted Average Exercise Price Per Option Weighted Average Remaining Contractual Life (Years) Aggregate Intrinsic Value Number of shares under option: Outstanding at beginning of year 1,390,769 $178.18 Granted 30,000 210.68 Exercised (597,030) 77.06 Forfeited (31,077) 260.26 Outstanding at end of year 792,662 $252.35 7.7 $7 Exercisable at end of year 7,953 $197.07 3.1 $1 The total intrinsic value of options exercised during the years ended December 31, 2023, 2022 and 2021 was $80, $75 and $84, with a related tax benefit of $18, $17 and $19, respectively. At December 31, 2023, there was $11 of total unrecognized compensation cost related to options which is expected to be recognized over a weighted average period of 1.2 years. Restricted Stock Units In February 2023, 2022 and 2021, we granted to our executives 327,523, 1,804,541 and 980,077 restricted stock units (RSUs) as part of our long-term incentive program with grant date fair values of $214.35, $217.48 and $215.70 per unit, respectively. On July 29, 2022, we also granted 2,568,112 RSUs with a grant date fair value of $157.69 per unit as part of our long-term incentive program, accelerating awards planned for 2023 to retain executives. The RSUs granted under this program will generally vest and settle in common stock (on a one-for-one basis) on the third anniversary of the grant date. If an executive terminates employment because of retirement, layoff, disability, or death, the executive (or beneficiary) may receive some or all of their stock units depending on certain age and service conditions. In all other cases, the RSUs will not vest and all rights to the stock units will terminate. These RSUs are labeled executive long-term incentive program in the table below. In addition to RSUs awarded under our long-term incentive programs, we granted RSUs to certain executives and employees. These RSUs are labeled other RSUs in the table below. The fair values of all RSUs are estimated using the average of the high and low stock prices on the date of grant. RSU activity for the year ended December 31, 2023 was as follows: Executive Long-Term Incentive Program Employee Long-Term Incentive Program Other Number of units: Outstanding at beginning of year 6,117,900 4,373,807 958,694 Granted 411,134 142,711 Forfeited (229,226) (106,087) (32,253) Distributed (950,318) (4,242,199) (303,642) Outstanding at end of year 5,349,490 25,521 765,510 Undistributed vested units 1,630,233 25,407 34,600 Unrecognized compensation cost $366 $55 Weighted average remaining amortization period (years) 1.5 1.6 Performance Restricted Stock Units On February 16, 2023, we granted 199,899 performance restricted stock units (PRSU) to our executive officers as part of our long-term incentive program that will result in that number of PRSUs being paid out if the target performance metric is achieved. The PRSUs granted under this program have a grant date fair value of $214.35 per unit. The award payout can range from 0% to 200% of the initial PRSU grant based on cumulative free cash flow achievement over the period January 1, 2023 through December 31, 2025 as compared to the target set at the start of the performance period. The PRSUs granted under this program will vest at the payout amount determined on the third anniversary of the grant date and settle in common stock (on a one-for-one basis). If an executive terminates employment because of retirement, layoff, disability, or death, the executive (or beneficiary) remains eligible under the award and, if the award is earned, may receive some or all of their stock units depending on certain age and service conditions. In all other cases, the PRSUs will not vest and all rights to the stock units will terminate. During the year ended December 31, 2023, there were no forfeitures or distributions. At December 31, 2023, unrecognized compensation cost was $31, and the weighted average remaining amortization period was 2.1 years. Performance-Based Restricted Stock Units Performance-Based Restricted Stock Units (PBRSUs) are stock units that pay out based on the Company’s total shareholder return (TSR) as compared to a group of peer companies over a three-year period. The award payout can range from 0% to 200% of the initial PBRSU grant. During 2023, these performance awards expired with a payout of 0%. Employee Stock Purchase Plan The Company has an employee stock purchase plan which permits eligible employees to purchase Boeing stock at 95% of the fair market value on the last trading day of each three-month period using payroll deduction. The aggregate number of shares of our stock authorized for issuance under the plan is 12,000,000. During the year ended December 31, 2023, approximately 216,719 shares were purchased at an average price of $193.52 per share. Deferred Compensation The Company has deferred compensation plans which permit certain employees and executives to defer a portion of their salary, bonus, certain other incentive awards and retirement contributions. Participants can diversify these amounts among 23 investment funds including a Boeing stock unit account. Total expense/(income) related to deferred compensation was $188, ($117) and $126 in 2023, 2022 and 2021, respectively. As of December 31, 2023 and 2022, the deferred compensation liability which is being marked to market was $1,640 and $1,499.</t>
  </si>
  <si>
    <t>Shareholders' Equity</t>
  </si>
  <si>
    <t>Stockholders' Equity Note [Abstract]</t>
  </si>
  <si>
    <t>Shareholders’ Equity As of December 31, 2023 and 2022, there were 1,200,000,000 shares of common stock and 20,000,000 shares of preferred stock authorized. No preferred stock has been issued. Changes in Share Balances The following table shows changes in each class of shares: Common Treasury Balance at January 1, 2021 1,012,261,159 429,941,021 Issued (6,904,556) Acquired 307,242 Balance at December 31, 2021 1,012,261,159 423,343,707 Issued (8,877,047) Acquired 204,723 Balance at December 31, 2022 1,012,261,159 414,671,383 Issued (13,651,201) Acquired 1,725,954 Balance at December 31, 2023 1,012,261,159 402,746,136 Additional Paid-in Capital During the year ended December 31, 2023, Additional paid-in capital included a decrease of $267 related to a non-cash transaction to purchase shares in a consolidated subsidiary from the noncontrolling interests. Accumulated Other Comprehensive Loss Changes in AOCI by component for the years ended December 31, 2023, 2022 and 2021 were as follows: Currency Translation Adjustments Unrealized Gains and Losses on Certain Investments Unrealized Gains and Losses on Derivative Instruments Defined Benefit Pension Plans &amp; Other Postretirement Benefits Total (1) Balance at January 1, 2021 ($30) $1 ($43) ($17,061) ($17,133) Other comprehensive (loss)/income before reclassifications (75) 55 4,268 (2) 4,248 Amounts reclassified from AOCI (6) 1,232 (3) 1,226 Net current period Other comprehensive (loss)/income (75) 49 5,500 5,474 Balance at December 31, 2021 ($105) $1 $6 ($11,561) ($11,659) Other comprehensive (loss)/income before reclassifications (62) (1) (40) 1,529 (2) 1,426 Amounts reclassified from AOCI 10 (4) 673 (3) 683 Net current period Other comprehensive (loss)/income (62) (1) (30) 2,202 2,109 Balance at December 31, 2022 ($167) ($24) ($9,359) ($9,550) Other comprehensive income/(loss) before reclassifications 33 2 41 (722) (2) (646) Amounts reclassified from AOCI (5) (104) (3) (109) Net current period Other comprehensive income/(loss) 33 2 36 (826) (755) Balance at December 31, 2023 ($134) $2 $12 ($10,185) ($10,305) (1) Net of tax. (2) Primarily related to remeasurement of assets and benefit obligations related to the Company's pension and other postretirement benefit plans resulting in an actuarial (loss)/gain of ($722), $1,533 and $4,262 (net of tax of $13, ($22) and ($32)) for the years ended December 31, 2023, 2022 and 2021. See Note 16. (3) Amounts reclassified from AOCI for the year ended December 31, 2023, primarily related to amortization of prior service credits totaling ($102) (net of tax of $1). Amounts reclassified from AOCI for the years ended December 31, 2022 and 2021, primarily related to amortization of actuarial losses totaling $791 and $1,155 (net of tax of ($11) and ($8)). These are included in net periodic pension cost. See Note 16. (4) Included losses of $39 (net of tax of ($11)) from cash flow hedges reclassified to Other income, net because the forecasted transactions are not probable of occurring.</t>
  </si>
  <si>
    <t>Derivative Financial Instruments</t>
  </si>
  <si>
    <t>Summary of Derivative Instruments [Abstract]</t>
  </si>
  <si>
    <t>Derivative Financial Instruments Cash Flow Hedges Our cash flow hedges include foreign currency forward contracts, commodity swaps and commodity purchase contracts. We use foreign currency forward contracts to manage currency risk associated with certain expected sales and purchased through 2031. We use commodity derivatives, such as fixed-price purchase commitments and swaps to hedge against potentially unfavorable price changes for commodities used in production. Our commodity contracts hedge forecasted transactions through 2028. Derivative Instruments Not Receiving Hedge Accounting Treatment We have entered into agreements to purchase and sell aluminum to address long-term strategic sourcing objectives and non-U.S. business requirements. These agreements are derivative instruments for accounting purposes. The quantities of aluminum in these agreements offset and are priced at prevailing market prices. We also hold certain foreign currency forward contracts and commodity swaps which do not qualify for hedge accounting treatment. Notional Amounts and Fair Values The notional amounts and fair values of derivative instruments in the Consolidated Statements of Financial Position as of December 31 were as follows: Notional amounts (1) Other assets Accrued 2023 2022 2023 2022 2023 2022 Derivatives designated as hedging instruments: Foreign exchange contracts $4,120 $2,815 $85 $23 ($63) ($122) Commodity contracts 514 602 83 115 (8) (9) Derivatives not receiving hedge accounting treatment: Foreign exchange contracts 254 462 1 5 (32) (42) Commodity contracts 115 412 2 (2) (1) Total derivatives $5,003 $4,291 169 145 (105) (174) Netting arrangements (47) (33) 47 33 Net recorded balance $122 $112 ($58) ($141) (1) Notional amounts represent the gross contract/notional amount of the derivatives outstanding. Gains/(losses) associated with our hedging transactions and forward points recognized in Other comprehensive income are presented in the following table: Years ended December 31, 2023 2022 2021 Recognized in Other comprehensive income, net of taxes: Foreign exchange contracts $61 ($118) ($47) Commodity contracts (20) 78 102 Gains/(losses) associated with our hedging transactions and forward points reclassified from AOCI to earnings are presented in the following table: Years ended December 31, 2023 2022 2021 Foreign exchange contracts Revenues $1 Costs and expenses ($15) 7 $13 General and administrative (17) (12) 8 Commodity contracts Costs and expenses $31 $31 ($18) General and administrative expense 7 10 5 During the twelve months ended December 31, 2022, we reclassified losses associated with certain cash flow hedges of $50 from AOCI to Other income, net because it became probable the forecasted transactions would not occur. Gains/(losses) related to undesignated derivatives on foreign exchange and commodity cash flow hedging transactions recognized in Other income, net were insignificant for the years ended December 31, 2023, 2022 and 2021. Based on our portfolio of cash flow hedges, we expect to reclassify losses of $39 (pre-tax) out of AOCI into earnings during the next 12 months. We have derivative instruments with credit-risk-related contingent features. If we default on our five-year credit facility, our derivative counterparties could require settlement for foreign exchange and certain commodity contracts with original maturities of at least five years. The fair value of those contracts in a net liability position at December 31, 2023 was $16. For other particular commodity contracts, our counterparties could require collateral posted in an amount determined by our credit ratings. At December 31, 2023, there was no collateral posted related to our derivatives.</t>
  </si>
  <si>
    <t>Fair Value Measurements</t>
  </si>
  <si>
    <t>Fair Value Disclosures [Abstract]</t>
  </si>
  <si>
    <t>Fair Value Measurements The fair value hierarchy has three levels based on the reliability of the inputs used to determine fair value. Level 1 refers to fair values determined based on quoted prices in active markets for identical assets. Level 2 refers to fair values estimated using significant other observable inputs, and Level 3 includes fair values estimated using significant unobservable inputs. The following table presents our assets and liabilities that are measured at fair value on a recurring basis and are categorized using the fair value hierarchy. December 31, 2023 December 31, 2022 Total Level 1 Level 2 Total Level 1 Level 2 Assets Money market funds $1,514 $1,514 $1,797 $1,797 Available-for-sale debt investments: Commercial paper 291 $291 256 $256 Corporate notes 183 183 195 195 U.S. government agencies 25 25 47 47 Other equity investments 44 44 10 10 Derivatives 122 122 112 112 Total assets $2,179 $1,558 $621 $2,417 $1,807 $610 Liabilities Derivatives ($58) ($58) ($141) ($141) Total liabilities ($58) ($58) ($141) ($141) Money market funds, available-for-sale debt investments and equity securities are valued using a market approach based on the quoted market prices or broker/dealer quotes of identical or comparable instruments. Derivatives include foreign currency and commodity contracts. Our foreign currency forward contracts are valued using an income approach based on the present value of the forward rate less the contract rate multiplied by the notional amount. Commodity derivatives are valued using an income approach based on the present value of the commodity index prices less the contract rate multiplied by the notional amount. Certain assets have been measured at fair value on a nonrecurring basis, using significant unobservable inputs (Level 3). The following table presents the nonrecurring losses recognized for the years ended December 31 due to long-lived asset impairment, and the fair value and asset classification of the related assets as of the impairment date: 2023 2022 Fair Value Total Losses Fair Value Total Losses Investments ($18) ($31) Operating lease equipment $47 (7) Property, plant and equipment $14 (26) (19) Other Assets (2) 15 (55) Total $14 ($46) $62 ($112) Investments, Property, plant and equipment, and Other assets were primarily valued using an income approach based on the discounted cash flows associated with the underlying assets. The fair value of the impaired operating lease equipment is derived by calculating a median collateral value from a consistent group of third party aircraft value publications. The values provided by the third party aircraft publications are derived from their knowledge of market trades and other market factors. Management reviews the publications quarterly to assess the continued appropriateness and consistency with market trends. Under certain circumstances, we adjust values based on the attributes and condition of the specific aircraft or equipment, usually when the features or use of the aircraft vary significantly from the more generic aircraft attributes covered by third party publications, or on the expected net sales price for the aircraft. Fair Value Disclosures The fair values and related carrying values of financial instruments that are not required to be remeasured at fair value on the Consolidated Statements of Financial Position at December 31 were as follows: December 31, 2023 Carrying Amount Total Fair Value Level 1 Level 2 Level 3 Assets Notes receivable, net $257 $270 $270 Liabilities Debt, excluding finance lease obligations (52,055) (51,039) (51,039) December 31, 2022 Carrying Amount Total Fair Value Level 1 Level 2 Level 3 Assets Notes receivable, net $385 $403 $403 Liabilities Debt, excluding finance lease obligations (56,794) (52,856) (52,856) The fair values of notes receivable are estimated with discounted cash flow analysis using interest rates currently offered on loans with similar terms to borrowers of similar credit quality. The fair value of our debt that is traded in the secondary market is classified as Level 2 and is based on current market yields. For our debt that is not traded in the secondary market, the fair value is classified as Level 2 and is based on our indicative borrowing cost derived from dealer quotes or discounted cash flows. With regard to other financial instruments with off-balance sheet risk, it is not practicable to estimate the fair value of our indemnifications and financing commitments because the amount and timing of those arrangements are uncertain. Items not included in the above disclosures include cash, restricted cash, time deposits and other deposits, commercial paper, money market funds, Accounts receivable, Unbilled receivables, Other current assets, Accounts payable and long-term payables. The carrying values of those items, as reflected in the Consolidated Statements of Financial Position, approximate their fair value at December 31, 2023 and 2022. The fair value of assets and liabilities whose carrying value approximates fair value is determined using Level 2 inputs, with the exception of cash (Level 1).</t>
  </si>
  <si>
    <t>Legal Proceedings</t>
  </si>
  <si>
    <t>Loss Contingency, Information about Litigation Matters [Abstract]</t>
  </si>
  <si>
    <t>Legal Proceedings Various legal proceedings, claims and investigations related to products, contracts, employment and other matters are pending against us. In addition, we are subject to various government inquiries and investigations from which civil, criminal or administrative proceedings could result or have resulted in the past. Such proceedings involve or could involve claims by the government for fines, penalties, compensatory and treble damages, restitution and/or forfeitures. Under U.S. government regulations, a company, or one or more of its operating divisions or subdivisions, can also be suspended or debarred from government contracts, or lose its export privileges, based on the results of investigations. We believe, based upon current information, that the outcome of any currently pending legal proceeding, claim, or government dispute, inquiry or investigation will not have a material effect on our financial position, results of operations or cash flows. With respect to the matters set forth below, we cannot reasonably estimate a range of loss in excess of recorded amounts, if any. Multiple legal actions and inquiries were initiated as a result of the October 29, 2018 accident of Lion Air Flight 610 and the March 10, 2019 accident of Ethiopian Airlines Flight 302. On January 7, 2021, we entered into a Deferred Prosecution Agreement (DPA) with the U.S. Department of Justice that resolved the Department of Justice’s investigation into us regarding the evaluation of the 737 MAX by the Federal Aviation Administration (FAA). Among other obligations, the DPA includes a three-year reporting period, which ended earlier this month. The Department is currently considering whether we fulfilled our obligations under the DPA and whether to move to dismiss the information, which motion will require court approval. During 2019, we entered into agreements with Embraer S.A. (Embraer) to establish joint ventures that included the commercial aircraft and services operations of Embraer, of which we were expected to acquire an 80 percent ownership stake for $4,200, as well as a joint venture to promote and develop new markets for the C-390 Millennium. In 2020, we exercised our contractual right to terminate these agreements based on Embraer’s failure to meet certain required closing conditions. Embraer has disputed our right to terminate the agreements, and the dispute is currently in arbitration, which we currently expect to be resolved in 2024.</t>
  </si>
  <si>
    <t>Segment and Revenue Information</t>
  </si>
  <si>
    <t>Segment Reporting [Abstract]</t>
  </si>
  <si>
    <t>Segment and Revenue Information Segment results reflect the realignment of the Boeing Customer Financing team and portfolio into the BCA segment during the first quarter of 2023. Interest and debt expense now includes interest and debt expense previously attributable to Boeing Capital and classified as a component of Total Costs and Expenses ("Cost of Sales"). Prior period amounts have been reclassified to conform to current period presentation. Our primary profitability measurement to review segment operating results is Loss from operations. We operate in three reportable segments: BCA, BDS, and BGS. All other activities fall within Unallocated items, eliminations and other. See page 56 for the Summary of Business Segment Data, which is an integral part of this note. BCA develops, produces and markets commercial jet aircraft principally to the commercial airline industry worldwide. Revenue on commercial aircraft contracts is recognized at the point in time when an aircraft is completed and accepted by the customer. BDS engages in the research, development, production and modification of the following products and related services: manned and unmanned military aircraft and weapons systems, surveillance and engagement, strategic defense and intelligence systems, satellite systems and space exploration. BDS revenue is generally recognized over the contract term (over time) as costs are incurred. BGS provides parts, maintenance, modifications, logistics support, training, data analytics and information-based services to commercial and government customers worldwide. BGS segment revenue and costs include certain products and services provided to other segments. Revenue on commercial spare parts contracts is recognized at the point in time when a spare part is delivered to the customer. Revenue on other contracts is generally recognized over the contract term (over time) as costs are incurred. While our principal operations are in the United States, Canada and Australia, some key suppliers and subcontractors are located in Europe and Japan. Revenues, including foreign military sales, are reported by customer location and consisted of the following: Years ended December 31, 2023 2022 2021 Europe $10,520 $7,916 $8,967 Asia 10,013 8,393 5,845 Middle East 6,594 5,047 4,653 Oceania 1,655 1,576 1,147 Canada 1,256 1,612 969 Africa 825 418 239 Latin America, Caribbean and other 1,524 2,412 1,376 Total non-U.S. revenues 32,387 27,374 23,196 United States 45,380 39,218 39,076 Estimated potential concessions and other considerations to 737 MAX customers 27 16 14 Total revenues $77,794 $66,608 $62,286 Revenues from the U.S. government (including foreign military sales through the U.S. government), primarily recorded at BDS and BGS, represented 37%, 40% and 49% of consolidated revenues for 2023, 2022 and 2021, respectively. Approximately 4% of operating assets were located outside the United States as of December 31, 2023 and 2022. The following tables present BCA, BDS and BGS revenues from contracts with customers disaggregated in a number of ways, such as geographic location, contract type and the method of revenue recognition. We believe these best depict how the nature, amount, timing and uncertainty of our revenues and cash flows are affected by economic factors. BCA revenues by customer location consisted of the following: Years ended December 31, 2023 2022 2021 Revenue from contracts with customers: Asia $6,328 $4,488 $2,816 Europe 6,172 4,085 4,387 Middle East 4,311 2,003 1,098 Other non-U.S. 2,431 3,042 1,683 Total non-U.S. revenues 19,242 13,618 9,984 United States 14,501 12,275 9,614 Estimated potential concessions and other considerations to 737 MAX customers 27 16 14 Total revenues from contracts with customers 33,770 25,909 19,612 Intersegment revenues, eliminated on consolidation 131 117 102 Total segment revenues $33,901 $26,026 $19,714 Revenue recognized on fixed-price contracts 100 % 100 % 100 % Revenue recognized at a point in time 99 % 99 % 99 % BDS revenues on contracts with customers, based on the customer's location, consisted of the following: Years ended December 31, 2023 2022 2021 Revenue from contracts with customers: U.S. customers $20,051 $17,144 $19,869 Non-U.S. customers (1) 4,882 6,018 6,671 Total segment revenue from contracts with customers $24,933 $23,162 $26,540 Revenue recognized over time 99 % 99 % 99 % Revenue recognized on fixed-price contracts 58 % 60 % 68 % Revenue from the U.S. government (1) 91 % 89 % 89 % (1) Includes revenues earned from foreign military sales through the U.S. government. BGS revenues consisted of the following: Years ended December 31, 2023 2022 2021 Revenue from contracts with customers: Commercial $11,020 $9,560 $7,527 Government 7,751 7,681 8,553 Total revenues from contracts with customers 18,771 17,241 16,080 Intersegment revenues eliminated on consolidation 356 370 248 Total segment revenues $19,127 $17,611 $16,328 Revenue recognized at a point in time 51 % 50 % 45 % Revenue recognized on fixed-price contracts 87 % 88 % 86 % Revenue from the U.S. government (1) 30 % 33 % 40 % (1) Includes revenues earned from foreign military sales through the U.S. government. Earnings in Equity Method Investments During the years ended December 31, 2023, 2022, and 2021, our share of income from equity method investments was $70, $56, and $40, respectively. In 2023 and 2021, earnings in equity method investments were primarily driven by investments held at our BDS segment. In 2022, earnings in equity method investments were primarily driven by investments held in Unallocated items, eliminations and other. Backlog Our total backlog includes contracts that we and our customers are committed to perform. The value in backlog represents the estimated transaction prices on performance obligations to our customers for which work remains to be performed. Backlog is converted into revenue, primarily based on the cost incurred or at delivery and acceptance of products, depending on the applicable revenue recognition model. Our backlog at December 31, 2023 was $520,195. We expect approximately 16% to be converted to revenue through 2024 and approximately 62% through 2027, with the remainder thereafter. There is significant uncertainty regarding the timing of when backlog will convert into revenue due to timing of 737 and 787 deliveries from inventory and timing of entry into service of the 777X, 737-7 and/or 737-10. Unallocated Items, Eliminations and other Unallocated items, eliminations and other include common internal services that support Boeing’s global business operations and eliminations of certain sales between segments. We generally allocate costs to business segments based on the U.S. Government Cost Accounting Standards (CAS). Components of Unallocated items, eliminations and other (expense)/income are shown in the following table. Years ended December 31, 2023 2022 2021 Share-based plans $62 ($114) ($174) Deferred compensation (188) 117 (126) Amortization of previously capitalized interest (95) (95) (107) Research and development expense, net (315) (278) (184) Eliminations and other unallocated items (1,223) (1,134) (636) Unallocated items, eliminations and other ($1,759) ($1,504) ($1,227) Pension and Other Postretirement Benefit Expense Pension costs are allocated to BDS and BGS businesses supporting government customers using CAS, which employ different actuarial assumptions and accounting conventions than GAAP. These costs are allocable to government contracts. Other postretirement benefit costs are allocated to business segments based on CAS, which is generally based on benefits paid. FAS/CAS service cost adjustment represents the difference between the Financial Accounting Standards (FAS) pension and postretirement service costs calculated under GAAP and costs allocated to the business segments. Non-operating pension and postretirement expenses represent the components of net periodic benefit costs other than service cost. These expenses are included in Other income, net. Components of FAS/CAS service cost adjustment are shown in the following table: Years ended December 31, 2023 2022 2021 Pension FAS/CAS service cost adjustment $799 $849 $882 Postretirement FAS/CAS service cost adjustment 257 294 291 FAS/CAS service cost adjustment $1,056 $1,143 $1,173 Assets Segment assets are summarized in the table below. December 31, 2023 2022 Commercial Airplanes $77,047 $76,825 Defense, Space &amp; Security 14,921 14,426 Global Services 16,193 16,149 Unallocated items, eliminations and other 28,851 29,700 Total $137,012 $137,100 Assets included in Unallocated items, eliminations and other primarily consist of Cash and cash equivalents, Short-term and other investments, tax assets, capitalized interest and assets managed centrally on behalf of the three principal business segments and intercompany eliminations. Capital Expenditures Years ended December 31, 2023 2022 2021 Commercial Airplanes $420 $218 $177 Defense, Space &amp; Security 192 202 199 Global Services 127 130 94 Unallocated items, eliminations and other 788 672 510 Total $1,527 $1,222 $980 Capital expenditures for Unallocated items, eliminations and other relate primarily to assets managed centrally on behalf of the three principal business segments. Depreciation and Amortization Years ended December 31, 2023 2022 2021 Commercial Airplanes $464 $554 $594 Defense, Space &amp; Security 219 238 233 Global Services 320 346 414 Centrally Managed Assets (1) 858 841 903 Total $1,861 $1,979 $2,144 (1) Amounts shown in the table represent depreciation and amortization expense recorded by the individual business segments. Depreciation and amortization for centrally managed assets are included in segment operating earnings based on usage and occupancy. In 2023, $650 was included in the primary business segments, of which $311, $264 and $75 was included in BCA, BDS and BGS, respectively. In 2022, $644 was included in the primary business segments, of which $361, $230 and $53 was included in BCA, BDS and BGS, respectively. In 2021, $669 was included in the primary business segments, of which $387, $222 and $60 was included in BCA, BDS and BGS, respectively.</t>
  </si>
  <si>
    <t>Subsequent Events</t>
  </si>
  <si>
    <t>Subsequent Events [Abstract]</t>
  </si>
  <si>
    <t>Subsequent Events On January 5, 2024, an Alaska Airlines 737-9 flight made an emergency landing after a mid-exit door plug detached in flight. Following the accident, the Federal Aviation Administration (FAA) grounded and required inspections of all 737-9 aircraft with a mid-exit door plug, which constitute the large majority of the approximately 220 737-9 aircraft in the in-service fleet . On January 24, 2024, the FAA approved an enhanced maintenance and inspection process that must be performed on each of the grounded 737-9 aircraft. Our 737-9 operators have begun returning their fleets to service, and many 737-9s have completed inspections and resumed revenue flights. All 737-9 aircraft in production will undergo this same enhanced inspection process prior to delivery. On January 10, 2024, the FAA notified Boeing that the FAA has initiated an investigation into Boeing’s quality control system. On January 24, 2024, the FAA stated that it will not approve production rate increases or additional production lines for the 737 MAX until it is satisfied that Boeing is in full compliance with required quality control procedures. We are currently unable to reasonably estimate what impact the accident and the related FAA actions will have on our financial position, results of operations and cash flows.</t>
  </si>
  <si>
    <t>Pay vs Performance Disclosure - USD ($) $ in Millions</t>
  </si>
  <si>
    <t>Pay vs Performance Disclosure</t>
  </si>
  <si>
    <t>Insider Trading Arrangements</t>
  </si>
  <si>
    <t>3 Months Ended</t>
  </si>
  <si>
    <t>Trading Arrangements, by Individual</t>
  </si>
  <si>
    <t>Rule 10b5-1 Arrangement Adopted</t>
  </si>
  <si>
    <t>Non-Rule 10b5-1 Arrangement Adopted</t>
  </si>
  <si>
    <t>Rule 10b5-1 Arrangement Terminated</t>
  </si>
  <si>
    <t>Non-Rule 10b5-1 Arrangement Terminated</t>
  </si>
  <si>
    <t>Summary of Significant Accounting Policies (Policy)</t>
  </si>
  <si>
    <t>Principles of Consolidation and Basis of Presentation</t>
  </si>
  <si>
    <t>Principles of Consolidation and Basis of Presentation The Consolidated Financial Statements included in this report have been prepared by management of The Boeing Company (herein referred to as “Boeing,” the “Company,” “we,” “us” or “our”). These statements include the accounts of all majority-owned subsidiaries and variable interest entities that are required to be consolidated. All significant intercompany accounts and transactions have been eliminated. As described in Note 22, we now operate in three reportable segments: Commercial Airplanes (BCA), Defense, Space &amp; Security (BDS), and Global Services (BGS). As a result, prior period amounts have been reclassified to conform to current period presentation.</t>
  </si>
  <si>
    <t>Use of Estimates</t>
  </si>
  <si>
    <t>Use of Estimates The preparation of financial statements in conformity with U.S. generally accepted accounting principles (GAAP)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Actual results could differ from those estimates.</t>
  </si>
  <si>
    <t>Operating Cycle</t>
  </si>
  <si>
    <t>Operating Cycle For classification of certain current assets and liabilities, we use the duration of the related contract or program as our operating cycle, which is generally longer than one year.</t>
  </si>
  <si>
    <t>Revenue and Related Cost Recognition</t>
  </si>
  <si>
    <t>Revenue and Related Cost Recognition Commercial aircraft contracts The majority of our BCA segment revenue is derived from commercial aircraft contracts. For each contract, we determine the transaction price based on the consideration expected to be received. We allocate the transaction price to each commercial aircraft performance obligation based on relative standalone selling prices adjusted by an escalation formula as specified in the customer agreement. Revenue is recognized for each commercial aircraft performance obligation at the point in time when the aircraft is completed and accepted by the customer. We use program accounting to determine the amount reported as cost of sales. Payments for commercial aircraft sales are received in accordance with the customer agreement, which generally includes a deposit upon order and additional payments in accordance with a payment schedule, with the balance being due immediately prior to or at aircraft delivery. Advances and progress billings (contract liabilities) are normal and customary for commercial aircraft contracts and not considered a significant financing component as they are intended to protect us from the other party failing to adequately complete some or all of its obligations under the contract. Long-term contracts Substantially all contracts at BDS and certain contracts at BGS are long-term contracts with the U.S. government and other customers that generally extend over several years. Products sales under long-term contracts primarily include fighter jets, rotorcraft, cybersecurity products, surveillance suites, advanced weapons, missile defense, military derivative aircraft, satellite systems and modification of commercial passenger aircraft to cargo freighters. Sales of services under long-term contracts primarily include support and maintenance agreements associated with our commercial and defense products and space travel on Commercial Crew. For each long-term contract, we determine the transaction price based on the consideration expected to be received. We allocate the transaction price to each distinct performance obligation to deliver a good or service, or a collection of goods and/or services, based on the relative standalone selling prices. A long-term contract will typically represent a single distinct performance obligation due to the highly interdependent and interrelated nature of the underlying goods and/or services and the significant service of integration that we provide. While the scope and price on certain long-term contracts may be modified over their life, the transaction price is based on current rights and obligations under the contract and does not include potential modifications until they are agreed upon with the customer. When applicable, a cumulative adjustment or separate recognition for the additional scope and price may result. Long-term contracts can be negotiated with a fixed price or a price in which we are reimbursed for costs incurred plus an agreed upon profit. The Federal Acquisition Regulations provide guidance on the types of cost that will be reimbursed in establishing the price for contracts with the U.S. government. Certain long-term contracts include in the transaction price variable consideration, such as incentive and award fees, if specified targets are achieved. The amount included in the transaction price represents the expected value, based on a weighted probability, or the most likely amount. Long-term contract revenue is recognized over the contract term (over time) as the work progresses, either as products are produced or as services are rendered. We generally recognize revenue over time as we perform on long-term contracts because of continuous transfer of control to the customer. For U.S. government contracts, this continuous transfer of control to the customer is supported by clauses in the contract that allow the customer to unilaterally terminate the contract for convenience, pay us for costs incurred plus a reasonable profit and take control of any work in process. Similarly, for non-U.S. government contracts, the customer typically controls the work in process as evidenced either by contractual termination clauses or by our rights to payment of the transaction price associated with work performed to date on products or services that do not have an alternative use to the Company. The accounting for long-term contracts involves a judgmental process of estimating total revenues, costs and profit for each performance obligation. Cost of sales is recognized as incurred. The amount reported as revenues is determined by adding a proportionate amount of the estimated profit to the amount reported as cost of sales. Recognizing revenue as costs are incurred provides an objective measure of progress on the long-term contract and thereby best depicts the extent of transfer of control to the customer. For long-term contracts for which revenue is recognized over time, changes in estimated revenues, cost of sales and the related effect on operating income are recognized using a cumulative catch-up adjustment which recognizes in the current period the cumulative effect of the changes on current and prior periods based on a long-term contract’s percentage-of-completion. When the current estimates of total revenues and costs at completion for a long-term contract indicate a loss, a provision for the entire reach-forward loss on the long-term contract is recognized. The table below reflects the impact of net cumulative catch-up adjustments for changes in estimated revenues and costs at completion across all long-term contracts including the impact to Loss from operations from estimated losses on unexercised options for the years ended December 31: 2023 2022 2021 Decrease to Revenue ($1,706) ($2,335) ($379) Increase to Loss from operations ($2,943) ($5,253) ($880) Increase to Diluted loss per share ($5.43) ($8.88) ($1.28) Significant adjustments during the three years ended December 31, 2023 included losses on VC-25B, KC-46A Tanker, MQ-25, Commercial Crew and T-7A Red Hawk programs in addition to lower earnings on F-15 and satellites. Due to the significance of judgment in the estimation process, changes in underlying assumptions/estimates, internal and supplier performance, inflationary trends, or other circumstances may adversely or positively affect financial performance in future periods. Payments under long-term contracts may be received before or after revenue is recognized. The U.S. government customer typically withholds payment of a small portion of the contract price until contract completion. Therefore, long-term contracts typically generate Unbilled receivables (contract assets) but may generate Advances and progress billings (contract liabilities). Long-term contract Unbilled receivables and Advances and progress billings are not considered a significant financing component because they are intended to protect either the customer or the Company in the event that some or all of the obligations under the contract are not completed. Commercial spare parts contracts Certain contracts at our BGS segment include sales of commercial spare parts. For each contract, we determine the transaction price based on the consideration expected to be received. The spare parts have discrete unit prices that represent fair value. We generally consider each spare part to be a separate performance obligation. Revenue is recognized for each commercial spare part performance obligation at the point in time of delivery to the customer. We may provide our customers with a right to return a commercial spare part where a customer may receive a full or partial refund, a credit applied to amounts owed, a different product in exchange, or any combination of these items. We consider the potential for customer returns in the estimated transaction price. The amount reported as cost of sales is recorded at average cost. Payments for commercial spare parts sales are typically received shortly after delivery. Other service revenue contracts Certain contracts at our BGS segment are for sales of services to commercial customers including maintenance, training, data analytics and information-based services. We recognize revenue for these service performance obligations over time as the services are rendered. The method of measuring progress (such as straight-line or billable amount) varies depending upon which method best depicts the transfer of control to the customer based on the type of service performed. Cost of sales is recorded as incurred. Concession sharing arrangements We account for sales concessions to our customers in consideration of their purchase of products and services as a reduction of the transaction price and the revenue that is recognized for the related performance obligations. The sales concessions incurred may be partially reimbursed by certain suppliers in accordance with concession sharing arrangements. We record these reimbursements, which are presumed to represent reductions in the price of the vendor’s products or services, as a reduction in Cost of products. Unbilled receivables and advances and progress billings Unbilled receivables (contract assets) arise when the Company recognizes revenue for amounts which cannot yet be billed under terms of the contract with the customer. Advances and progress billings (contract liabilities) arise when the Company receives payments from customers in advance of recognizing revenue. The amount of Unbilled receivables or Advances and progress billings is determined for each contract. Financial services revenue We record financial services revenue associated with sales-type leases, operating leases and loans in Sales of services on the Consolidated Statements of Operations. For sales-type leases, we recognize selling profit or loss at lease inception if collection of the lease payments is probable. For sales-type leases, we record financing receivables at lease inception. A financing receivable is recorded at the aggregate of future lease payments, estimated residual value of the leased equipment, and any deferred incremental direct costs less unearned income. Income is recognized over the life of the lease to approximate a level rate of return on the net investment. For notes receivable, we record financing receivables net of any unamortized discounts and deferred incremental direct costs. Interest income and amortization of any discounts are recorded ratably over the related term of the note. Income recognition is generally suspended for financing receivables that are uncollectible. We determine that a financing receivable is uncollectible when, based on current information and events, it is probable that we will be unable to collect amounts due according to the original contractual terms. We determine a financing receivable is past due when cash has not been received upon the due date specified in the contract. We evaluate the collectability of financing receivables at commencement and on a recurring basis. If a financing receivable is determined to be uncollectible, the customer is categorized as non-accrual status. When a customer is in non-accrual status at commencement, sales-type lease revenue is deferred until substantially all cash has been received or the customer is removed from non-accrual status. If we have a note receivable with a customer that is in non-accrual status, or a sales-type lease with a customer that changes to non-accrual status after commencement, we recognize contractual interest income as payments are received to the extent there is sufficient collateral and payments exceed past due principal payments. Residual values, which are reviewed periodically, represent the estimated amount we expect to receive at lease termination from the disposition of the leased equipment. Actual residual values realized could differ from these estimates. Declines in estimated residual value that are deemed other-than-temporary are recognized in the period in which the declines occur. For operating leases, revenue on leased aircraft and equipment is recorded on a straight-line basis over the term of the lease. Operating lease assets, included in Financing receivables and operating lease equipment, net, are recorded at cost and depreciated to an estimated residual value using the straight-line method over the period that we project we will hold the asset. We periodically review our estimates of residual value and recognize forecasted changes by prospectively adjusting depreciation expense. We record assets held for sale at the lower of carrying value or fair value less costs to sell. We evaluate for impairment assets under operating leases when events or changes in circumstances indicate that the expected undiscounted cash flow from the asset may be less than the carrying value. When we determine that impairment is indicated for an asset, the amount of impairment expense recorded is the excess of the carrying value over the fair value of the asset. Reinsurance revenue Our wholly-owned insurance subsidiary, Astro Ltd., participates in a reinsurance pool for workers’ compensation. The member agreements and practices of the reinsurance pool minimize any participating members’ individual risk. Reinsurance revenues were $163, $129 and $126 during 2023, 2022 and 2021, respectively. Reinsurance costs related to premiums and claims paid to the reinsurance pool were $181, $134 and $129 during 2023, 2022 and 2021, respectively. Revenues and costs are presented net in Cost of sales in the Consolidated Statements of Operations.</t>
  </si>
  <si>
    <t>Research and Development</t>
  </si>
  <si>
    <t>Research and Development Research and development includes costs incurred for experimentation, design and testing, as well as bid and proposal efforts related to government products and services, which are expensed as incurred unless the costs are related to certain contractual arrangements with customers. Costs that are incurred pursuant to such contractual arrangements are recorded over the period that revenue is recognized, consistent with our long-term contract accounting policy. We have certain research and development arrangements that meet the requirement for best efforts research and development accounting. Accordingly, the amounts funded by the customer are recognized as an offset to our research and development expense rather than as contract revenues. Research and development expense, net included bid and proposal costs of $188, $217 and $213 in 2023, 2022 and 2021, respectively.</t>
  </si>
  <si>
    <t>Share-Based Compensation</t>
  </si>
  <si>
    <t>Share-Based Compensation We provide various forms of share-based compensation to our employees. For awards settled in shares, we measure compensation expense based on the grant-date fair value net of estimated forfeitures. For awards settled in cash, or that may be settled in cash, we measure compensation expense based on the fair value at each reporting date net of estimated forfeitures. The expense is recognized over the requisite service period, which is generally the vesting period of the award.</t>
  </si>
  <si>
    <t>Income Taxes Provisions for U.S. federal, state and local, and non-U.S. income taxes are calculated on reported Loss before income taxes based on current tax law and also include, in the current period, the cumulative effect of any changes in tax rates from those used previously in determining deferred tax assets and liabilities. Such provisions differ from the amounts currently receivable or payable because certain items of income and expense are recognized in different time periods for financial reporting purposes than for income tax purposes. Significant judgment is required in determining income tax provisions and evaluating tax positions. The accounting for uncertainty in income taxes requires a more-likely-than-not threshold for financial statement recognition and measurement of tax positions taken or expected to be taken in a tax return. We record a liability for the difference between the benefit recognized and measured for financial statement purposes and the tax position taken or expected to be taken on our tax return. To the extent that our assessment of such tax positions changes, the change in estimate is recorded in the period in which the determination is made. Tax-related interest and penalties are classified as a component of Income tax (expense)/benefit. We also assess the likelihood that we will be able to recover our deferred tax assets against future sources of taxable income and reduce the carrying amounts of deferred tax assets by recording a valuation allowance if, based on the available evidence, it is more likely than not that all or a portion of such assets will not be realized. Changes in our estimates and judgments regarding realization of deferred tax assets may result in an increase or decrease to our tax expense and/or other comprehensive income, which would be recorded in the period in which the change occurs.</t>
  </si>
  <si>
    <t>Postretirement Plans Many of our employees have earned benefits under defined benefit pension plans. The majority of employees that had participated in defined benefit pension plans have transitioned to a company-funded defined contribution retirement savings plan. We also provide postretirement benefit plans other than pensions, consisting principally of health care coverage to eligible retirees and qualifying dependents. Benefits under the pension and other postretirement benefit plans are generally based on age at retirement and years of service and, for some pension plans, benefits are also based on the employee’s annual earnings. The net periodic cost of our pension and other postretirement plans is determined using the projected unit credit method and several actuarial assumptions, the most significant of which are the discount rate, the long-term rate of asset return and medical trend (rate of growth for medical costs). Actuarial gains and losses, which occur when actual experience differs from actuarial assumptions, are reflected in Shareholders’ equity (net of taxes). If actuarial gains and losses exceed ten percent of the greater of plan assets or plan liabilities, we amortize them over the average expected future lifetime of participants. The funded status of our pension and postretirement plans is reflected on the Consolidated Statements of Financial Position.</t>
  </si>
  <si>
    <t>Postemployment Plans</t>
  </si>
  <si>
    <t>Postemployment Plans We record a liability for postemployment benefits, such as severance or job training, when payment is probable, the amount is reasonably estimable, and the obligation relates to rights that have vested or accumulated.</t>
  </si>
  <si>
    <t>Environmental Remediation</t>
  </si>
  <si>
    <t>Environmental Remediation We are subject to federal and state requirements for protection of the environment, including those for discharge of hazardous materials and remediation of contaminated sites. We routinely assess, based on in-depth studies, expert analyses and legal reviews, our contingencies, obligations and commitments for remediation of contaminated sites, including assessments of ranges and probabilities of recoveries from other responsible parties and/or insurance carriers. Our policy is to accrue and charge to current expense identified exposures related to environmental remediation sites when it is probable that a liability has been incurred and the amount can be reasonably estimated. The amount of the liability is based on our best estimate or the low end of a range of reasonably possible exposure for investigation, cleanup and monitoring costs to be incurred. Estimated remediation costs are not discounted to present value as the timing of payments cannot be reasonably estimated. We may be able to recover a portion of the remediation costs from insurers or other third parties. Such recoveries are recorded when realization of the claim for recovery is deemed probable.</t>
  </si>
  <si>
    <t>Cash and Cash Equivalents</t>
  </si>
  <si>
    <t>Cash and Cash Equivalents Cash and cash equivalents consist of highly liquid instruments, such as commercial paper, time deposits, and other money market instruments, which have original maturities of three months or less. We aggregate our cash balances by bank where conditions for right of set-off are met, and reclassify any negative balances, consisting mainly of uncleared checks, to Accounts payable. Negative balances reclassified to Accounts payable were $117 and $102 at December 31, 2023 and 2022.</t>
  </si>
  <si>
    <t>Inventories Inventoried costs on commercial aircraft programs and long-term contracts include direct engineering, production and tooling and other non-recurring costs, and applicable overhead, which includes fringe benefits, production related indirect and plant management salaries and plant services, not in excess of estimated net realizable value. To the extent a material amount of such costs are related to an abnormal event or are fixed costs not appropriately attributable to our programs or contracts, they are expensed in the current period rather than inventoried. Inventoried costs include amounts relating to programs and contracts with long-term production cycles, a portion of which is not expected to be realized within one year. Included in inventory for federal government contracts is an allocation of allowable costs related to manufacturing process reengineering. Commercial aircraft programs inventory includes deferred production costs and supplier advances. Deferred production costs represent actual costs incurred for production of early units that exceed the estimated average cost of all units in the program accounting quantity. Higher production costs are experienced at the beginning of a new or derivative aircraft program. Units produced early in a program require substantially more effort (labor and other resources) than units produced later in a program because of volume efficiencies and the effects of learning. We expect that these deferred costs will be fully recovered when all units included in the accounting quantity are delivered as the expected unit cost for later deliveries is below the estimated average cost of all units in the program. Supplier advances represent payments for parts we have contracted to receive from suppliers in the future. As parts are received, supplier advances are amortized to work in process. The determination of net realizable value of long-term contract costs is based upon quarterly reviews that estimate costs to be incurred to complete all contract requirements. When actual contract costs and the estimate to complete exceed total estimated contract revenues, a loss provision is recorded. The determination of net realizable value of commercial aircraft program costs is based upon quarterly program reviews that estimate revenue and cost to be incurred to complete the program accounting quantity. When estimated costs to complete exceed estimated program revenues to go, a program loss provision is recorded in the current period for the estimated loss on all undelivered units in the accounting quantity. Used aircraft purchased by our BCA segment and general stock materials are stated at cost not in excess of net realizable value. Spare parts inventory is stated at lower of average unit cost or net realizable value. We review our commercial spare parts and general stock materials quarterly to identify impaired inventory, including excess or obsolete inventory, based on historical sales trends, expected production usage, and the size and age of the aircraft fleet using the part. Impaired inventories are charged to Cost of products in the period the impairment occurs. Included in inventory for commercial aircraft programs are amounts paid or credited in cash, or other consideration to certain airline customers, that are referred to as early issue sales consideration. Early issue sales consideration is recognized as a reduction to revenue when the delivery of the aircraft under contract occurs. If an airline customer does not perform and take delivery of the contracted aircraft, we believe that we would have the ability to recover amounts paid. However, to the extent early issue sales consideration exceeds advances and is not considered to be otherwise recoverable, it would be written off in the current period.</t>
  </si>
  <si>
    <t>Precontract Costs</t>
  </si>
  <si>
    <t>Precontract Costs We may, from time to time, incur costs in excess of the amounts required for existing contracts. If we determine the costs are probable of recovery from future orders, then we capitalize the precontract costs we incur, excluding start-up costs which are expensed as incurred. Capitalized precontract costs are included in Inventories in the accompanying Consolidated Statements of Financial Position. Should future orders not materialize or we determine the costs are no longer probable of recovery, the capitalized costs would be written off.</t>
  </si>
  <si>
    <t>Property, Plant and Equipment Property, plant and equipment are recorded at cost, including applicable construction-period interest, less accumulated depreciation and are depreciated principally over the following estimated useful lives: new buildings and land improvements, from 10 to 40 years; and new machinery and equipment, from 4 to 20 years. The principal methods of depreciation are as follows: buildings and land improvements, 150% declining balance; and machinery and equipment, sum-of-the-years’ digits. Capitalized internal use software is included in Other assets, net and amortized using the straight line method over 5 years. Capitalized costs of software purchased as a service are included in Other assets, net and amortized using the straight line method over the term of the hosting arrangement, which is typically no greater than 10 years. We periodically evaluate the appropriateness of remaining depreciable lives assigned to long-lived assets, including assets that may be subject to a management plan for disposition. Long-lived assets held for sale are stated at the lower of cost or fair value less cost to sell. Long-lived assets held for use are subject to an impairment assessment whenever events or changes in circumstances indicate that the carrying amount may not be recoverable. If the carrying value is no longer recoverable based upon the undiscounted future cash flows of the asset, the amount of the impairment is the difference between the carrying amount and the fair value of the asset.</t>
  </si>
  <si>
    <t>Leases We determine if an arrangement is, or contains, a lease under which we are the lessee at the inception date. Operating lease assets are included in Other assets, net, with the related liabilities included in Accrued liabilities and Other long-term liabilities. Assets under finance leases, which primarily represent computer equipment, are included in Property, plant and equipment, net, with the related liabilities included in Short-term debt and current portion of long-term debt and Long-term debt on the Consolidated Statements of Financial Position. Operating lease assets represent our right to use an underlying asset for the lease term and lease liabilities represent our obligation to make lease payments arising from the lease. Operating lease assets and liabilities are recognized at the lease commencement date based on the estimated present value of lease payments over the lease term. We use our estimated incremental borrowing rate in determining the present value of lease payments. Variable components of the lease payments such as fair market value adjustments, utilities and maintenance costs are expensed as incurred and not included in determining the present value. Our lease terms include options to extend or terminate the lease when it is reasonably certain that we will exercise that option. Lease expense for operating leases is recognized on a straight-line basis over the lease term. We have real property lease agreements with lease and non-lease components which are accounted for as a single lease component.</t>
  </si>
  <si>
    <t>Asset Retirement Obligations</t>
  </si>
  <si>
    <t>Asset Retirement Obligations We record all known asset retirement obligations for which the liability’s fair value can be reasonably estimated, including certain asbestos removal, asset decommissioning and contractual lease restoration obligations. Recorded amounts are not material. We also have known conditional asset retirement obligations, such as certain asbestos remediation and asset decommissioning activities to be performed in the future, that are not reasonably estimable due to insufficient information about the timing and method of settlement of the obligation. Accordingly, these obligations have not been recorded in the Consolidated Financial Statements. A liability for these obligations will be recorded in the period when sufficient information regarding timing and method of settlement becomes available to make a reasonable estimate of the liability’s fair value. In addition, there may be conditional asset retirement obligations that we have not yet discovered (e.g. asbestos may exist in certain buildings but we have not become aware of it through the normal course of business), and therefore, these obligations also have not been included in the Consolidated Financial Statements.</t>
  </si>
  <si>
    <t>Goodwill and Other Acquired Intangibles</t>
  </si>
  <si>
    <t>Goodwill and Other Acquired Intangibles Goodwill and other acquired intangible assets with indefinite lives are not amortized, but are tested for impairment annually and when an event occurs or circumstances change such that it is more likely than not that an impairment may exist. Our annual testing date is April 1. We test goodwill for impairment by performing a qualitative assessment or using a quantitative test. If we choose to perform a qualitative assessment and determine it is more likely than not that the carrying value of the net assets is more than the fair value of the related operations, the quantitative test is then performed; otherwise, no further testing is required. For operations where the quantitative test is used, we compare the carrying value of net assets to the estimated fair value of the related operations. If the fair value is determined to be less than carrying value, the shortfall up to the carrying value of the goodwill represents the amount of goodwill impairment. Indefinite-lived intangibles consist of a brand and trade name and in-process research and development (IPR&amp;D) acquired in business combinations. IPR&amp;D is initially capitalized at fair value as an intangible asset with an indefinite life and assessed for impairment thereafter. IPR&amp;D is reclassified to finite-lived acquired intangible assets when a project is completed and then amortized on a straight-line basis over the asset’s estimated useful life. We test these intangibles for impairment by comparing the carrying values to current projections of related discounted cash flows. Any excess carrying value over the amount of discounted cash flows represents the amount of the impairment. Our finite-lived acquired intangible assets are amortized on a straight-line basis over their estimated useful lives as follows: developed technology, from 4 to 14 years; product know-how, from 6 to 30 years; customer base, from 3 to 17 years; distribution rights, from 3 to 27 years; and other, from 1 to 32 years. We evaluate the potential impairment of finite-lived acquired intangible assets whenever events or changes in circumstances indicate that the carrying amount may not be recoverable. If the carrying value is no longer recoverable based upon the undiscounted future cash flows of the asset, the amount of the impairment is the difference between the carrying amount and the fair value of the asset.</t>
  </si>
  <si>
    <t>Investments Time deposits are held-to-maturity investments that are carried at cost. Available-for-sale debt investments include commercial paper, U.S. government agency securities and corporate debt securities. Available-for-sale debt investments are recorded at fair value, and unrealized gains and losses are recorded, net of tax, as a component of accumulated other comprehensive income. Realized gains and losses on available-for-sale debt investments are recognized based on the specific identification method. Available-for-sale debt investments are assessed for impairment quarterly. The equity method of accounting is used to account for investments for which we have the ability to exercise significant influence, but not control, over an investee. Significant influence is generally deemed to exist if we have an ownership interest in the voting stock of an investee of between 20% and 50%. The cumulative earnings approach is used for cash flow classification of distributions received from equity method investments. Other Equity investments are recorded at fair value, with gains and losses recorded through net earnings. Equity investments without readily determinable fair value are measured at cost, less impairments, plus or minus observable price changes. Equity investments without readily determinable fair value are assessed for impairment quarterly. We classify investment income and loss on our Consolidated Statements of Operations based on whether the investment is operating or non-operating in nature. Operating investments align strategically and are integrated with our operations. Earnings from operating investments, including our share of income or loss from equity method investments, dividend income from other equity investments, and any impairments or gain/loss on the disposition of these investments, are recorded in Income/(loss) from operating investments, net. Non-operating investments are those we hold for non-strategic purposes. Earnings from non-operating investments, including interest and dividends on marketable securities, and any impairments or gain/loss on the disposition of these investments are recorded in Other income, net.</t>
  </si>
  <si>
    <t>Derivatives</t>
  </si>
  <si>
    <t>Derivatives All derivative instruments are recognized in the financial statements and measured at fair value regardless of the purpose or intent of holding them. We use derivative instruments to principally manage a variety of market risks. For our cash flow hedges, the derivative’s gain or loss is initially reported in comprehensive income and is subsequently reclassified into earnings in the same period(s) during which the hedged forecasted transaction affects earnings. We have agreements to purchase and sell aluminum to address long-term strategic sourcing objectives and non-U.S. business requirements. We also hold certain other derivative instruments for economic purposes. These aluminum purchase and sale agreements and other derivative instruments are derivatives for accounting purposes but are not designated as hedges for accounting purposes. For these aluminum agreements and other derivative instruments not designated for hedge accounting treatment, the changes in their fair value are recorded in earnings immediately.</t>
  </si>
  <si>
    <t>Allowances for Losses on Certain Financial Assets</t>
  </si>
  <si>
    <t>Allowances for Losses on Certain Financial Assets We establish allowances for credit losses on accounts receivable, unbilled receivables, financing receivables and certain other financial assets. The adequacy of these allowances is assessed quarterly through consideration of factors such as customer credit ratings, bankruptcy filings, published or estimated credit default rates, age of the receivable, expected loss rates and collateral exposures. Collateral exposure is the excess of the carrying value of a financial asset over the fair value of the related collateral. We determine the creditworthiness of our customers by assigning internal credit ratings based upon publicly available information and information obtained directly from the customers. Our rating categories are comparable to those used by major credit rating agencies. Financing receivables are collateralized by security in the related asset. We use a median calculated from published collateral values from multiple third-party aircraft value publications based on the type and age of the aircraft to determine the fair value of aircraft collateral. Under certain circumstances, we apply judgment based on the attributes of the specific aircraft or equipment, usually when the features or use of the aircraft vary significantly from the more generic aircraft attributes covered by outside publications. We have entered into agreements with certain customers that would entitle us to look beyond the specific collateral underlying the receivable for purposes of determining the collateral exposure. Should the proceeds from the sale of the underlying collateral asset resulting from a default condition be insufficient to cover the carrying value of our receivable (creating a shortfall condition), these agreements would, for example, permit us to take the actions necessary to sell or retain certain other assets in which the customer has an equity interest and use the proceeds to cover the shortfall.</t>
  </si>
  <si>
    <t>Commercial Aircraft Trade-in Commitments</t>
  </si>
  <si>
    <t>Commercial Aircraft Trade-in Commitments In conjunction with signing a definitive agreement for the sale of new commercial aircraft (Sale Aircraft), we have entered into trade-in commitments with certain customers that give them the right to trade in used aircraft at a specified price. Exposure related to trade-in commitments may take the form of: (1) adjustments to revenue for the difference between the contractual trade-in price in the definitive agreement and our best estimate of the fair value of the trade-in aircraft as of the date of such agreement, which would be recognized upon delivery of the Sale Aircraft, and/or (2) charges to cost of products for adverse changes in the fair value of trade-in aircraft that occur subsequent to signing of a definitive agreement for Sale Aircraft but prior to the purchase of the used trade-in aircraft. Estimates based on current aircraft values would be included in Accrued liabilities. The fair value of trade-in aircraft is determined using aircraft-specific data such as model, age and condition, market conditions for specific aircraft and similar models, and multiple valuation sources. This process uses our assessment of the market for each trade-in aircraft, which in most instances begins years before the return of the aircraft. There are several possible markets in which we continually pursue opportunities to place used aircraft. These markets include, but are not limited to, the resale market, which could potentially include the cost of long-term storage; the leasing market, with the potential for refurbishment costs to meet the leasing customer’s requirements; or the scrap market. Trade-in aircraft valuation varies significantly depending on which market we determine is most likely for each aircraft. On a quarterly basis, we update our valuation analysis based on the actual activities associated with placing each aircraft into a market or using current published third-party aircraft valuations based on the type and age of the aircraft, adjusted for individual attributes and known conditions.</t>
  </si>
  <si>
    <t>Warranties</t>
  </si>
  <si>
    <t>Warranties In conjunction with certain product sales, we provide warranties that cover factors such as non-conformance to specifications and defects in material and design. The majority of our warranties are issued by our BCA segment. Generally, aircraft sales are accompanied by a 3 to 4-year standard warranty for systems, accessories, equipment, parts, and software manufactured by us or manufactured to certain standards under our authorization. These warranties are included in the programs’ estimate at completion. On occasion we have made commitments beyond the standard warranty obligation to correct fleet-wide major issues of a particular model, resulting in additional accrued warranty expense. Warranties issued by our BDS segment principally relate to sales of military aircraft and weapons systems. These sales are generally accompanied by a six month to two-year warranty period and cover systems, accessories, equipment, parts and software manufactured by us to certain contractual specifications. Estimated costs related to standard warranties are recorded in the period in which the related product delivery occurs. The warranty liability recorded at each balance sheet date reflects the estimated number of months of warranty coverage outstanding for products delivered times the average of historical monthly warranty payments, as well as additional amounts for certain major warranty issues that exceed a normal claims level. Estimated costs of these additional warranty issues are considered changes to the initial liability estimate. We provide guarantees to certain commercial aircraft customers which include compensation provisions for failure to meet specified aircraft performance targets. We account for these performance guarantees as warranties. The estimated liability for these warranties is based on known and anticipated operational characteristics and forecasted customer operation of the aircraft relative to contractually specified performance targets, and anticipated settlements when contractual remedies are not specified. Estimated payments are recorded as a reduction of revenue at delivery of the related aircraft. We have agreements that require certain suppliers to compensate us for amounts paid to customers for failure of supplied equipment to meet specified performance targets. Claims against suppliers under these agreements are included in Inventories and recorded as a reduction in Cost of products at delivery of the related aircraft. These performance warranties and claims against suppliers are included in estimates to complete the related programs.</t>
  </si>
  <si>
    <t>Supplier Penalties</t>
  </si>
  <si>
    <t>Guarantees</t>
  </si>
  <si>
    <t>Guarantees At the inception of a guarantee, we record a liability in Accrued liabilities for the fair value of the guarantee. For credit guarantees, the liability is equal to the present value of the expected loss. We determine the expected loss by multiplying the creditor’s default rate by the guarantee amount reduced by the expected recovery, if applicable. We also recognize a liability for the expected contingent loss at inception and adjust it each quarter.</t>
  </si>
  <si>
    <t>Basic and diluted earnings per share are computed using the two-class method, which is an earnings allocation method that determines earnings per share for common shares and participating securities. The undistributed earnings are allocated between common shares and participating securities as if all earnings had been distributed during the period. Participating securities and common shares have equal rights to undistributed earnings. Basic earnings per share is calculated by taking net earnings attributable to Boeing Shareholders, less earnings available to participating securities, divided by the basic weighted average common shares outstanding. Diluted earnings per share is calculated by taking net earnings attributable to Boeing Shareholders, less earnings available to participating securities, divided by the diluted weighted average common shares outstanding. Diluted weighted average common shares outstanding is calculated using the treasury stock method.</t>
  </si>
  <si>
    <t>Backlog</t>
  </si>
  <si>
    <t>Our total backlog includes contracts that we and our customers are committed to perform. The value in backlog represents the estimated transaction prices on performance obligations to our customers for which work remains to be performed. Backlog is converted into revenue, primarily based on the cost incurred or at delivery and acceptance of products, depending on the applicable revenue recognition model.</t>
  </si>
  <si>
    <t>Summary of Business Segment Data (Tables)</t>
  </si>
  <si>
    <t>Schedule of Segment Reporting Information, by Segment</t>
  </si>
  <si>
    <t>(Dollars in millions) Years ended December 31, 2023 2022 2021 Revenues: Commercial Airplanes $33,901 $26,026 $19,714 Defense, Space &amp; Security 24,933 23,162 26,540 Global Services 19,127 17,611 16,328 Unallocated items, eliminations and other (167) (191) (296) Total revenues $77,794 $66,608 $62,286 Loss from operations: Commercial Airplanes ($1,635) ($2,341) ($6,377) Defense, Space &amp; Security (1,764) (3,544) 1,544 Global Services 3,329 2,727 2,017 Segment operating loss (70) (3,158) (2,816) Unallocated items, eliminations and other (1,759) (1,504) (1,227) FAS/CAS service cost adjustment 1,056 1,143 1,173 Loss from operations (773) (3,519) (2,870) Other income, net 1,227 1,058 551 Interest and debt expense (2,459) (2,561) (2,714) Loss before income taxes (2,005) (5,022) (5,033) Income tax (expense)/benefit (237) (31) 743 Net loss (2,242) (5,053) (4,290) Less: net loss attributable to noncontrolling interest (20) (118) (88) Net loss attributable to Boeing Shareholders ($2,222) ($4,935) ($4,202)</t>
  </si>
  <si>
    <t>Summary of Significant Accounting Policies (Tables)</t>
  </si>
  <si>
    <t>Schedule of Change in Accounting Estimate</t>
  </si>
  <si>
    <t>The table below reflects the impact of net cumulative catch-up adjustments for changes in estimated revenues and costs at completion across all long-term contracts including the impact to Loss from operations from estimated losses on unexercised options for the years ended December 31: 2023 2022 2021 Decrease to Revenue ($1,706) ($2,335) ($379) Increase to Loss from operations ($2,943) ($5,253) ($880) Increase to Diluted loss per share ($5.43) ($8.88) ($1.28)</t>
  </si>
  <si>
    <t>Goodwill and Acquired Intangibles (Tables)</t>
  </si>
  <si>
    <t>Schedule of Goodwill by Reportable Segment</t>
  </si>
  <si>
    <t xml:space="preserve">Changes in the carrying amount of goodwill for the years ended December 31, 2023 and 2022 were as follows: Commercial Defense, Space &amp; Security Global Services Other Total Balance at December 31, 2021 $1,316 $3,224 $3,443 $85 $8,068 Goodwill adjustments (11) (11) Balance at December 31, 2022 $1,316 $3,224 $3,432 $85 $8,057 Acquisitions 3 11 16 30 Goodwill adjustments 6 6 Balance at December 31, 2023 $1,319 $3,235 $3,454 $85 $8,093 </t>
  </si>
  <si>
    <t>Schedule of Finite-Lived Intangible Assets</t>
  </si>
  <si>
    <t xml:space="preserve">The gross carrying amounts and accumulated amortization of our acquired finite-lived intangible assets were as follows at December 31: 2023 2022 Gross Accumulated Gross Accumulated Distribution rights $2,545 $1,566 $2,546 $1,443 Product know-how 552 465 552 441 Customer base 1,358 837 1,356 777 Developed technology 638 569 621 545 Other 280 241 276 233 Total $5,373 $3,678 $5,351 $3,439 </t>
  </si>
  <si>
    <t>Schedule of Finite-Lived Intangible Assets, Future Amortization Expense</t>
  </si>
  <si>
    <t xml:space="preserve">Estimated amortization expense for the five succeeding years is as follows: 2024 2025 2026 2027 2028 Estimated amortization expense $224 $199 $194 $174 $147 </t>
  </si>
  <si>
    <t>Earnings Per Share (Tables)</t>
  </si>
  <si>
    <t>Schedule of Weighted Average Number of Shares</t>
  </si>
  <si>
    <t>The elements used in the computation of basic and diluted earnings per share were as follows: (In millions - except per share amounts) Years ended December 31, 2023 2022 2021 Net loss attributable to Boeing Shareholders ($2,222) ($4,935) ($4,202) Less: earnings available to participating securities Net loss available to common shareholders ($2,222) ($4,935) ($4,202) Basic Basic weighted average shares outstanding 606.1 595.2 588.0 Less: participating securities (1) 0.3 0.3 0.4 Basic weighted average common shares outstanding 605.8 594.9 587.6 Diluted Diluted weighted average shares outstanding 606.1 595.2 588.0 Less: participating securities (1) 0.3 0.3 0.4 Diluted weighted average common shares outstanding 605.8 594.9 587.6 Net loss per share: Basic ($3.67) ($8.30) ($7.15) Diluted (3.67) (8.30) (7.15) (1) Participating securities include certain instruments in our deferred compensation plan.</t>
  </si>
  <si>
    <t>Schedule of Weighted Average Number of Shares Outstanding Excluded from the Computation of Diluted Earnings Per Share</t>
  </si>
  <si>
    <t xml:space="preserve">The following table represents potential common shares that were not included in the computation of Diluted loss per share because the effect was antidilutive based on their strike price or the performance condition was not met. (Shares in millions) Years ended December 31, 2023 2022 2021 Performance awards 2.9 Performance-based restricted stock units 0.4 0.8 Restricted stock units 1.0 0.4 Stock options 0.8 0.8 0.3 </t>
  </si>
  <si>
    <t>Income Taxes (Tables)</t>
  </si>
  <si>
    <t>Components of Earnings Before Income Taxes Between Domestic and Foreign Jurisdictions</t>
  </si>
  <si>
    <t>The components of Loss before income taxes were: Years ended December 31, 2023 2022 2021 U.S. ($2,512) ($5,457) ($5,475) Non-U.S. 507 435 442 Total ($2,005) ($5,022) ($5,033)</t>
  </si>
  <si>
    <t>Schedule of Income Tax Expense/(Benefit)</t>
  </si>
  <si>
    <t>Income tax (expense)/benefit consisted of the following: Years ended December 31, 2023 2022 2021 Current tax (benefit)/expense U.S. federal $9 ($58) ($89) Non-U.S. 179 142 147 U.S. state 19 (42) 42 Total current 207 42 100 Deferred tax (benefit)/expense U.S. federal 6 (62) (855) Non-U.S. 5 (3) (12) U.S. state 19 54 24 Total deferred 30 (11) (843) Total income tax expense/(benefit) $237 $31 ($743)</t>
  </si>
  <si>
    <t>Schedule of Effective Income Tax Rate Reconciliation</t>
  </si>
  <si>
    <t>The following is a reconciliation of the U.S. federal statutory tax to actual income tax (benefit)/expense: Years ended December 31, 2023 2022 2021 Amount Rate Amount Rate Amount Rate U.S. federal statutory tax ($421) 21.0 % ($1,054) 21.0 % ($1,057) 21.0 % Valuation allowance 1,150 (57.3) 1,199 (23.9) 512 (10.2) Research and development credits (472) 23.6 (204) 4.1 (189) 3.8 State income tax provision, net of effects on U.S. federal tax (75) 3.7 (90) 1.8 (94) 1.9 Tax on non-U.S. activities 35 (1.8) 64 (1.3) 47 (0.9) Impact of subsidiary shares purchased from noncontrolling interests (29) 1.5 Other provision adjustments 49 (2.5) 116 (2.3) 38 (0.9) Income tax expense/(benefit) $237 (11.8) % $31 (0.6) % ($743) 14.7 %</t>
  </si>
  <si>
    <t>Significant Components of Deferred Tax Assets Net of Deferred Tax Liabilities</t>
  </si>
  <si>
    <t>Significant components of our deferred tax assets/(liabilities) at December 31 were as follows: 2023 2022 Inventory and long-term contract methods of income recognition ($5,115) ($4,369) Research expenditures 2,873 1,464 Federal net operating loss, credit, interest and other carryovers (1) 2,551 2,082 Fixed assets, intangibles and goodwill (1,566) (1,641) Pension benefits 1,178 1,146 Other employee benefits 1,162 1,095 State net operating loss, credit, interest and other carryovers (2) 1,137 1,021 Accrued expenses and reserves 956 933 Other postretirement benefit obligations 590 660 737 MAX customer concessions and other considerations 310 425 Other 304 179 Gross deferred tax assets/(liabilities) before valuation allowance $4,380 $2,995 Valuation allowance (4,550) (3,162) Net deferred tax assets/(liabilities) after valuation allowance ($170) ($167) (1) Of the deferred tax asset for federal net operating loss, credit, interest and other carryovers, $1,224 expires on or before December 31, 2043 and $1,327 may be carried over indefinitely. (2) Of the deferred tax asset for state net operating loss, credit, interest and other carryovers, $575 expires on or before December 31, 2043 and $562 may be carried over indefinitely.</t>
  </si>
  <si>
    <t>Net Deferred Tax Assets and Liabilities</t>
  </si>
  <si>
    <t>Net deferred tax assets/(liabilities) at December 31 were as follows: 2023 2022 Deferred tax assets $14,743 $12,301 Deferred tax liabilities (10,363) (9,306) Valuation allowance (4,550) (3,162) Net deferred tax assets/(liabilities) ($170) ($167)</t>
  </si>
  <si>
    <t>Schedule of Unrecognized Tax Benefits Roll Forward</t>
  </si>
  <si>
    <t xml:space="preserve">A reconciliation of the beginning and ending amount of unrecognized tax benefits is as follows: 2023 2022 2021 Unrecognized tax benefits – January 1 $915 $858 $966 Gross increases – tax positions in prior periods 38 17 64 Gross decreases – tax positions in prior periods (3) (51) (245) Gross increases – current period tax positions 181 91 73 Gross decreases – current period tax positions Unrecognized tax benefits – December 31 $1,131 $915 $858 </t>
  </si>
  <si>
    <t>Accounts Receivable, net (Tables)</t>
  </si>
  <si>
    <t>Schedule of Accounts Receivable</t>
  </si>
  <si>
    <t>Accounts receivable, net at December 31 consisted of the following: 2023 2022 U.S. government contracts (1) $970 $800 Commercial Airplanes 57 293 Global Services (2) 1,526 1,390 Defense, Space, &amp; Security (2) 160 145 Other 25 5 Less valuation allowance (89) (116) Total $2,649 $2,517 (1) Includes foreign military sales through the U.S. government (2) Excludes U.S. government contracts</t>
  </si>
  <si>
    <t>Allowance for Losses on Financial Assets (Tables)</t>
  </si>
  <si>
    <t>Schedule of Financial Assets, Allowance for Credit Loss</t>
  </si>
  <si>
    <t>The change in allowances for expected credit losses for the years ended December 31, 2023 and 2022 consisted of the following: Accounts receivable Unbilled receivables Other Current Assets Financing receivables Other Assets Total Balance at January 1, 2022 ($390) ($91) ($62) ($18) ($186) ($747) Changes in estimates 2 21 (27) (37) (35) (76) Write-offs 260 47 4 133 444 Recoveries 12 12 Balance at December 31, 2022 ($116) ($23) ($85) ($55) ($88) ($367) Balance at January 1, 2023 ($116) ($23) ($85) ($55) ($88) ($367) Changes in estimates (6) 4 30 4 (34) (2) Write-offs 29 5 34 Recoveries 4 4 Balance at December 31, 2023 ($89) ($19) ($50) ($51) ($122) ($331)</t>
  </si>
  <si>
    <t>Inventories (Tables)</t>
  </si>
  <si>
    <t>Schedule of Inventory, Current</t>
  </si>
  <si>
    <t>Inventories at December 31 consisted of the following: 2023 2022 Commercial aircraft programs $68,683 $67,702 Long-term contracts in progress 686 582 Capitalized precontract costs (1) 946 794 Commercial spare parts, used aircraft, general stock materials and other 9,426 9,073 Total $79,741 $78,151 (1) Capitalized precontract costs at December 31, 2023 and 2022 includes amounts related to KC-46A Tanker, Commercial Crew, and T-7A Red Hawk Production Options. See Note 13.</t>
  </si>
  <si>
    <t>Contracts with Customers (Tables)</t>
  </si>
  <si>
    <t>Schedule of Unbilled Receivables and Claims</t>
  </si>
  <si>
    <t xml:space="preserve">The following table summarizes our contract assets under long-term contracts that were unbillable or related to outstanding claims as of December 31: Unbilled Claims 2023 2022 2023 2022 Current $6,565 $6,478 $6 Expected to be collected after one year 1,771 2,179 40 $16 Less valuation allowance (19) (23) Total $8,317 $8,634 $46 $16 </t>
  </si>
  <si>
    <t>Financing Receivables and Operating Lease Equipment (Tables)</t>
  </si>
  <si>
    <t>Schedule of Financing Receivables and Operating Lease Equipment, Net</t>
  </si>
  <si>
    <t xml:space="preserve">Financing receivables and operating lease equipment, net consisted of the following at December 31: 2023 2022 Financing receivables: Investment in sales-type leases $556 $804 Notes 102 385 Total financing receivables 658 1,189 Less allowance for losses on receivables 51 55 Financing receivables, net 607 1,134 Operating lease equipment, at cost, less accumulated depreciation of $70 and $76 352 470 Total $959 $1,604 </t>
  </si>
  <si>
    <t>Components of Investment in Sales Type or Finance Leases</t>
  </si>
  <si>
    <t xml:space="preserve">The components of investment in sales-type leases at December 31 were as follows: 2023 2022 Gross lease payments receivable $697 $924 Unearned income (162) (206) Net lease payments receivable 535 718 Unguaranteed residual assets 21 86 Total $556 $804 </t>
  </si>
  <si>
    <t>Financing Receivable Credit Quality Indicators</t>
  </si>
  <si>
    <t xml:space="preserve">Our financing receivable balances at December 31, 2023 by internal credit rating category and year of origination consisted of the following: Rating categories Current 2022 2021 2020 2019 Prior Total BBB $13 $13 BB $73 $32 $198 $103 $36 53 495 B 12 94 106 CCC 35 9 44 Total carrying value of financing receivables $73 $32 $233 $103 $48 $169 $658 </t>
  </si>
  <si>
    <t>Schedule of Customer Financing Carrying Values Related to Major Aircraft Concentrations</t>
  </si>
  <si>
    <t xml:space="preserve">The majority of our financing receivables and operating lease equipment portfolio is concentrated in the following aircraft models at December 31: 2023 2022 717 Aircraft ($0 and $45 accounted for as operating leases) $478 $563 747-8 Aircraft (Accounted for as sales-type leases) 129 394 737 Aircraft ($148 and $174 accounted for as operating leases) 156 186 777 Aircraft ($194 and $209 accounted for as operating leases) 194 209 MD-80 Aircraft (Accounted for as sales-type leases) 96 757 Aircraft (Accounted for as sales-type leases) 107 747-400 Aircraft (Accounted for as sales-type leases) 43 46 </t>
  </si>
  <si>
    <t>Scheduled Receipts on Customer Financing</t>
  </si>
  <si>
    <t xml:space="preserve">As of December 31, 2023, undiscounted cash flows for notes receivable, sales-type and operating leases over the next five years and thereafter are as follows: Notes receivable Sales-type leases Operating leases Year 1 $17 $149 $69 Year 2 9 102 61 Year 3 10 109 52 Year 4 11 127 47 Year 5 12 137 45 Thereafter 43 73 48 Total financing receipts 102 697 322 Less imputed interest (162) Estimated unguaranteed residual values 21 Total $102 $556 $322 </t>
  </si>
  <si>
    <t>Property, Plant and Equipment (Tables)</t>
  </si>
  <si>
    <t>Schedule of Property, Plant and Equipment</t>
  </si>
  <si>
    <t xml:space="preserve">Property, plant and equipment at December 31 consisted of the following: 2023 2022 Land $377 $376 Buildings and land improvements 14,795 14,404 Machinery and equipment 16,055 15,844 Construction in progress 1,679 1,368 Gross property, plant and equipment 32,906 31,992 Less accumulated depreciation (22,245) (21,442) Total $10,661 $10,550 </t>
  </si>
  <si>
    <t>Investments (Tables)</t>
  </si>
  <si>
    <t>Schedule of Investments</t>
  </si>
  <si>
    <t>Our investments, which are recorded in Short-term and other investments or Investments, consisted of the following at December 31: 2023 2022 Time deposits (1) $2,753 $2,093 Equity method investments (2) 966 948 Available-for-sale debt investments (1) 499 479 Equity and other investments 69 36 Restricted cash &amp; cash equivalents (1)(3) 22 33 Total $4,309 $3,589 (1) Included in Short-term and other investments on our Consolidated Statements of Financial Position. (2) Dividends received were $31 and $111 during 2023 and 2022. Retained earnings at December 31, 2023 include undistributed earnings from our equity method investments of $110. (3) Reflects amounts restricted in support of our property sales, workers’ compensation programs and insurance premiums.</t>
  </si>
  <si>
    <t>Schedule of Equity Method Investments</t>
  </si>
  <si>
    <t xml:space="preserve">Equity Method Investments Our equity method investments consisted of the following at December 31: Segment Ownership Percentages Investment Balance 2023 2022 United Launch Alliance BDS 50% $582 $587 Other BCA, BDS, BGS and Other 384 361 Total equity method investments $966 $948 </t>
  </si>
  <si>
    <t>Leases (Tables)</t>
  </si>
  <si>
    <t>Schedule of Supplemental Balance Sheet Information Related to Operating Leases</t>
  </si>
  <si>
    <t>Supplemental Consolidated Statement of Financial Position information related to leases consisted of the following at December 31: 2023 2022 Operating leases: Operating lease right-of-use assets $1,690 $1,451 Current portion of lease liabilities 296 276 Non-current portion of lease liabilities 1,518 1,305 Total operating lease liabilities $1,814 $1,581 Weighted average remaining lease term (years) 11 12 Weighted average discount rate 3.21% 4.13%</t>
  </si>
  <si>
    <t>Schedule of Maturities of Operating Liabilities</t>
  </si>
  <si>
    <t xml:space="preserve">Maturities of operating lease liabilities for the next five years are as follows: Operating leases 2024 $358 2025 317 2026 279 2027 230 2028 182 Thereafter 1,032 Total lease payments 2,398 Less imputed interest (584) Total $1,814 </t>
  </si>
  <si>
    <t>Liabilities, Commitments and Contingencies (Tables)</t>
  </si>
  <si>
    <t>Schedule of Accrued Liabilities</t>
  </si>
  <si>
    <t xml:space="preserve">Accrued liabilities at December 31 consisted of the following: 2023 2022 Accrued compensation and employee benefit costs $6,721 $6,351 737 MAX customer concessions and other considerations 1,327 1,864 Other customer concessions and considerations 1,300 1,102 Environmental 844 752 Product warranties 2,448 2,275 Forward loss recognition 4,699 4,060 Accrued interest payable 652 599 Current portion of lease liabilities 296 276 Current portion of retiree healthcare and pension liabilities 473 494 Other 3,571 3,808 Total $22,331 $21,581 </t>
  </si>
  <si>
    <t>Schedule of 737 Max Customer Concessions and Other Considerations Liability</t>
  </si>
  <si>
    <t xml:space="preserve">The following table summarizes changes in the 737 MAX customer concessions and other considerations liability during 2023 and 2022. 2023 2022 Beginning balance – January 1 $1,864 $2,940 Reductions for payments made (449) (1,031) Reductions for concessions and other in-kind considerations (61) (29) Changes in estimates (27) (16) Ending balance – December 31 $1,327 $1,864 </t>
  </si>
  <si>
    <t>Schedule of Environmental Remediation Activity</t>
  </si>
  <si>
    <t xml:space="preserve">The following table summarizes changes in environmental remediation liabilities during the years ended December 31, 2023 and 2022. 2023 2022 Beginning balance – January 1 $752 $605 Reductions for payments made, net of recoveries (79) (43) Changes in estimates 171 190 Ending balance – December 31 $844 $752 </t>
  </si>
  <si>
    <t>Schedule of Product Warranty Activity</t>
  </si>
  <si>
    <t xml:space="preserve">The following table summarizes changes in product warranty liabilities recorded during the years ended December 31, 2023 and 2022. 2023 2022 Beginning balance – January 1 $2,275 $1,900 Additions for current year deliveries 164 202 Reductions for payments made (320) (403) Changes in estimates 329 576 Ending balance – December 31 $2,448 $2,275 </t>
  </si>
  <si>
    <t>Schedule of Contractual Obligation, Fiscal Year Maturity</t>
  </si>
  <si>
    <t xml:space="preserve">The estimated earliest potential funding dates for these commitments as of December 31, 2023 are as follows: Total 2024 $1,946 2025 3,098 2026 4,829 2027 2,421 2028 1,641 Thereafter 3,068 $17,003 </t>
  </si>
  <si>
    <t>Arrangements with Off-Balance Sheet Risk (Tables)</t>
  </si>
  <si>
    <t>Schedule of Guarantor Obligations</t>
  </si>
  <si>
    <t xml:space="preserve">The following table provides quantitative data regarding our third party guarantees. The maximum potential payments represent a “worst-case scenario” and do not necessarily reflect amounts that we expect to pay. The carrying amount of liabilities represents the amount included in Accrued liabilities. Maximum Estimated Carrying December 31, 2023 2022 2023 2022 2023 2022 Contingent repurchase commitments $404 $514 $404 $514 Credit guarantees 15 45 $14 $27 </t>
  </si>
  <si>
    <t>Debt (Tables)</t>
  </si>
  <si>
    <t>Schedule of Short-Term Debt and Current Portion of Long-Term Debt</t>
  </si>
  <si>
    <t xml:space="preserve">Short-term debt and current portion of long-term debt at December 31 consisted of the following: 2023 2022 Unsecured debt $5,072 $5,103 Finance lease obligations 77 65 Other notes 55 22 Total $5,204 $5,190 </t>
  </si>
  <si>
    <t>Schedule of Debt</t>
  </si>
  <si>
    <t xml:space="preserve">Debt at December 31 consisted of the following: 2023 2022 Unsecured debt 1.17% - 2.50% due through 2026 $10,135 11,846 2.60% - 3.20% due through 2030 6,071 6,412 3.25% - 3.90% due through 2059 9,584 9,576 3.95% - 5.15% due through 2059 11,024 14,035 5.71% - 6.63% due through 2060 13,015 13,011 6.88% - 8.75% due through 2043 1,855 1,854 Other debt and notes Finance lease obligations due through 2044 253 206 Other notes 370 61 Total debt $52,307 $57,001 </t>
  </si>
  <si>
    <t>Scheduled Principal Payments for Debt and Capital Lease Obligations</t>
  </si>
  <si>
    <t xml:space="preserve">Scheduled principal payments for debt and minimum finance lease obligations for the next five years are as follows: 2024 2025 2026 2027 2028 Debt and other notes $5,128 $4,581 $7,983 $3,300 $1,800 Minimum finance lease obligations $84 $76 $55 $24 $3 </t>
  </si>
  <si>
    <t>Postretirement Plans (Tables)</t>
  </si>
  <si>
    <t>Components of Net Periodic Benefit Cost</t>
  </si>
  <si>
    <t xml:space="preserve">The components of net periodic benefit (income)/cost were as follows: Pension Other Postretirement Benefits Years ended December 31, 2023 2022 2021 2023 2022 2021 Service cost $2 $3 $3 $49 $72 $87 Interest cost 2,820 2,080 1,988 148 98 97 Expected return on plan assets (3,441) (3,789) (3,848) (9) (10) (7) Amortization of prior service credits (81) (81) (80) (22) (35) (35) Recognized net actuarial loss/(gain) 173 913 1,219 (175) (111) (56) Settlement/curtailment (gain)/loss (4) 193 Net periodic benefit (income)/cost ($527) ($878) ($525) ($9) $14 $86 Net periodic benefit cost included in Loss from operations $2 $3 $3 $62 $79 $90 Net periodic benefit income included in Other income, net (529) (881) (528) (58) (58) (1) Net periodic benefit (income)/cost included in Loss before income taxes ($527) ($878) ($525) $4 $21 $89 </t>
  </si>
  <si>
    <t>Schedule of Changes in the Benefit Obligation, Plan Assets and Funded Status of Pensions and OPB</t>
  </si>
  <si>
    <t>The following tables show changes in the benefit obligation, plan assets and funded status of both pensions and OPB for the years ended December 31, 2023 and 2022. Benefit obligation balances presented below reflect the PBO for our pension plans and accumulated postretirement benefit obligations (APBO) for our OPB plans. Pension Other Postretirement Benefits 2023 2022 2023 2022 Change in benefit obligation Beginning balance $55,117 $75,635 $2,978 $4,092 Service cost 2 3 49 72 Interest cost 2,820 2,080 148 98 Amendments 1 Actuarial loss/(gain) 1,217 (17,605) (152) (914) Gross benefits paid (4,837) (4,971) (375) (406) Subsidies 2 39 Exchange rate adjustment 6 (26) 1 (3) Ending balance $54,325 $55,117 $2,651 $2,978 Change in plan assets Beginning balance at fair value $49,825 $67,813 $140 $172 Actual return on plan assets 3,756 (13,141) 23 (27) Company contribution 2 Plan participants’ contributions 4 6 Benefits paid (4,698) (4,824) (4) (11) Exchange rate adjustment 8 (25) Ending balance at fair value $48,891 $49,825 $163 $140 Amounts recognized in statement of financial position at December 31 consist of: Other assets $1,219 $987 $81 $21 Accrued liabilities (137) (138) (336) (356) Accrued retiree health care (2,233) (2,503) Accrued pension plan liability, net (6,516) (6,141) Net amount recognized ($5,434) ($5,292) ($2,488) ($2,838)</t>
  </si>
  <si>
    <t>Schedule of Amounts Recognized in Accumulated Other Comprehensive Loss</t>
  </si>
  <si>
    <t>Amounts recognized in Accumulated other comprehensive loss (AOCI) at December 31 were as follows: Pension Other Postretirement Benefits 2023 2022 2023 2022 Net actuarial loss/(gain) $18,175 $17,448 ($1,852) ($1,862) Prior service credits (1,143) (1,224) (19) (41) Total recognized in AOCI $17,032 $16,224 ($1,871) ($1,903)</t>
  </si>
  <si>
    <t>Schedule of Key Information for All Plans with ABO in Excess of Plan Assets</t>
  </si>
  <si>
    <t xml:space="preserve">Key information for our plans with ABO and PBO in excess of plan assets as of December 31 was as follows: 2023 2022 Accumulated benefit obligation $47,665 $48,134 Fair value of plan assets 41,666 42,491 2023 2022 Projected benefit obligation $48,320 $48,770 Fair value of plan assets 41,666 42,491 </t>
  </si>
  <si>
    <t>Schedule of Assumptions Used to Calculate the Benefit Obligation and Net Periodic Benefit Costs</t>
  </si>
  <si>
    <t>The following assumptions, which are the weighted average for all plans, are used to calculate the benefit obligation at December 31 of each year and the net periodic benefit cost for the subsequent year. December 31, 2023 2022 2021 Discount rate: Pension 5.10 % 5.40 % 2.80 % Other postretirement benefits 5.00 % 5.30 % 2.50 % Expected return on plan assets 6.00 % 6.00 % 6.30 % Rate of compensation increase 4.30 % 4.30 % 4.30 % Interest crediting rates for cash balance plans 5.00 % 5.00 % 5.00 %</t>
  </si>
  <si>
    <t>Schedule of Assumed Health Care Cost Trend Rates</t>
  </si>
  <si>
    <t>Assumed health care cost trend rates were as follows: December 31, 2023 2022 2021 Health care cost trend rate assumed next year 5.50 % 5.50 % 4.50 % Ultimate trend rate 4.50 % 4.50 % 4.50 % Year that trend reaches ultimate rate 2028 2028 2021</t>
  </si>
  <si>
    <t>Schedule of Actual Allocations for Pension Assets and Target Allocations by Asset Class</t>
  </si>
  <si>
    <t>The actual and target allocations by asset class for the pension assets at December 31 were as follows: Actual Allocations Target Allocations Asset Class 2023 2022 2023 2022 Fixed income 60 % 63 % 59 % 63 % Global equity 19 14 20 20 Private equity 8 8 7 4 Real estate and real assets 7 8 7 7 Hedge funds 6 7 7 6 Total 100 % 100 % 100 % 100 %</t>
  </si>
  <si>
    <t>Schedule of Allocation of Plan Assets</t>
  </si>
  <si>
    <t xml:space="preserve">The following table presents our plan assets using the fair value hierarchy as of December 31, 2023 and 2022. The fair value hierarchy has three levels based on the reliability of the inputs used to determine fair value. Level 1 refers to fair values determined based on quoted prices in active markets for identical assets. Level 2 refers to fair values estimated using significant other observable inputs and Level 3 includes fair values estimated using significant unobservable inputs. December 31, 2023 December 31, 2022 Total Level 1 Level 2 Level 3 Total Level 1 Level 2 Level 3 Fixed income securities: Corporate $17,809 $17,750 $59 $15,095 $15,025 $70 U.S. government and agencies 6,822 6,822 7,827 7,827 Mortgage backed and asset backed 505 344 161 664 502 162 Municipal 816 816 843 811 32 Sovereign 720 720 706 706 Other 9 $6 3 8 $8 Derivatives: Assets 69 69 36 36 Liabilities (87) (87) Cash equivalents and other short-term investments 326 326 571 571 Equity securities: U.S. common and preferred stock 3,391 3,391 2,931 2,931 Non-U.S. common and preferred stock 2,204 2,204 2,023 2,023 Boeing company stock 1,782 1,782 Derivatives: Assets Liabilities (1) (1) Private equity Real estate and real assets: Real estate Real assets 385 349 33 3 362 310 47 5 Derivatives: Assets 1 1 Liabilities (8) (7) (1) Total $33,056 $5,950 $26,880 $226 $32,753 $7,054 $25,431 $268 Fixed income common/collective/pooled funds $1,378 $1,511 Fixed income other 1,364 832 Equity common/collective/ pooled funds 2,702 2,757 Private equity 4,102 4,239 Real estate and real assets 3,138 3,525 Hedge funds 2,751 3,391 Total investments measured at NAV as a practical expedient $15,435 $16,255 Cash $86 $409 Receivables 438 541 Payables (124) (133) Total $48,891 $49,825 </t>
  </si>
  <si>
    <t>Schedule of Effect of Significant Unobservable Inputs, Changes in Plan Assets</t>
  </si>
  <si>
    <t xml:space="preserve">The following tables summarizes the changes of Level 3 assets, reconciled by asset class, held during the years ended December 31, 2023 and 2022. Transfers into and out of Level 3 are reported at the beginning-of-year values. January 1 Net Realized and Unrealized Gains/(Losses) Net Purchases, Issuances and Settlements Net Transfers Into/(Out of) Level 3 December 31 Fixed income securities: Corporate $70 $5 ($16) $59 U.S. government and (1) $1 Mortgage backed and asset backed 162 7 10 (18) 161 Municipal 32 (5) (27) Other 3 3 Real assets 4 (1) 3 Total $268 $14 ($12) ($44) $226 January 1 Net Realized and Unrealized Gains/(Losses) Net Purchases, Issuances and Settlements Net Transfers Into/(Out of) Level 3 December 31 Fixed income securities: Corporate $53 ($19) $3 $33 $70 Mortgage backed and asset backed 102 (11) 16 55 162 Municipal 29 (14) 9 8 32 Sovereign 9 (9) Equity securities: Non-U.S. common and preferred stock 5 (45) (2) 42 Real assets (1) 5 4 Total $198 ($90) $31 $129 $268 </t>
  </si>
  <si>
    <t>Schedule of Estimated Future Benefit Payments</t>
  </si>
  <si>
    <t xml:space="preserve">The table below reflects the total pension benefits expected to be paid from the plans or from our assets, including both our share of the benefit cost and the participants’ share of the cost, which is funded by participant contributions. OPB payments reflect our portion only. Year(s) 2024 2025 2026 2027 2028 2029-2033 Pensions $4,524 $4,425 $4,345 $4,241 $4,143 $19,106 Other postretirement benefits: Gross benefits paid 358 341 319 295 269 1,004 Subsidies (12) (13) (13) (13) (13) (61) Net other postretirement benefits $346 $328 $306 $282 $256 $943 </t>
  </si>
  <si>
    <t>Share-Based Compensation and Other Compensation Arrangements (Tables)</t>
  </si>
  <si>
    <t>Schedule of Share-Based Plans Expense and Related Income Tax Benefit</t>
  </si>
  <si>
    <t xml:space="preserve">The share-based plans expense and related income tax benefit were as follows: Years ended December 31, 2023 2022 2021 Restricted stock units and other awards $697 $726 $840 Income tax benefit (before consideration of valuation allowance) $157 $178 $148 </t>
  </si>
  <si>
    <t>Schedule of Share-Based Payment Award, Stock Options, Valuation Assumptions</t>
  </si>
  <si>
    <t xml:space="preserve">Grant Year Grant Date Expected Life Expected Volatility Risk Free Interest Rate Grant Date Fair Value Per Option 2022 2/16/2022 6.8 years 36.6 % 2.0 % $83.04 2021 2/17/2021 6.6 years 37.8 % 1.3 % $74.63 </t>
  </si>
  <si>
    <t>Schedule of Stock Options Activity</t>
  </si>
  <si>
    <t xml:space="preserve">Stock option activity for the year ended December 31, 2023 was as follows: Shares Weighted Average Exercise Price Per Option Weighted Average Remaining Contractual Life (Years) Aggregate Intrinsic Value Number of shares under option: Outstanding at beginning of year 1,390,769 $178.18 Granted 30,000 210.68 Exercised (597,030) 77.06 Forfeited (31,077) 260.26 Outstanding at end of year 792,662 $252.35 7.7 $7 Exercisable at end of year 7,953 $197.07 3.1 $1 </t>
  </si>
  <si>
    <t>Schedule of Restricted Stock Units Award Activity</t>
  </si>
  <si>
    <t>RSU activity for the year ended December 31, 2023 was as follows: Executive Long-Term Incentive Program Employee Long-Term Incentive Program Other Number of units: Outstanding at beginning of year 6,117,900 4,373,807 958,694 Granted 411,134 142,711 Forfeited (229,226) (106,087) (32,253) Distributed (950,318) (4,242,199) (303,642) Outstanding at end of year 5,349,490 25,521 765,510 Undistributed vested units 1,630,233 25,407 34,600 Unrecognized compensation cost $366 $55 Weighted average remaining amortization period (years) 1.5 1.6</t>
  </si>
  <si>
    <t>Shareholders' Equity (Tables)</t>
  </si>
  <si>
    <t>Schedule of Common Stock Outstanding Roll Forward</t>
  </si>
  <si>
    <t xml:space="preserve">The following table shows changes in each class of shares: Common Treasury Balance at January 1, 2021 1,012,261,159 429,941,021 Issued (6,904,556) Acquired 307,242 Balance at December 31, 2021 1,012,261,159 423,343,707 Issued (8,877,047) Acquired 204,723 Balance at December 31, 2022 1,012,261,159 414,671,383 Issued (13,651,201) Acquired 1,725,954 Balance at December 31, 2023 1,012,261,159 402,746,136 </t>
  </si>
  <si>
    <t>Schedule of Accumulated Other Comprehensive Income (Loss)</t>
  </si>
  <si>
    <t>Changes in AOCI by component for the years ended December 31, 2023, 2022 and 2021 were as follows: Currency Translation Adjustments Unrealized Gains and Losses on Certain Investments Unrealized Gains and Losses on Derivative Instruments Defined Benefit Pension Plans &amp; Other Postretirement Benefits Total (1) Balance at January 1, 2021 ($30) $1 ($43) ($17,061) ($17,133) Other comprehensive (loss)/income before reclassifications (75) 55 4,268 (2) 4,248 Amounts reclassified from AOCI (6) 1,232 (3) 1,226 Net current period Other comprehensive (loss)/income (75) 49 5,500 5,474 Balance at December 31, 2021 ($105) $1 $6 ($11,561) ($11,659) Other comprehensive (loss)/income before reclassifications (62) (1) (40) 1,529 (2) 1,426 Amounts reclassified from AOCI 10 (4) 673 (3) 683 Net current period Other comprehensive (loss)/income (62) (1) (30) 2,202 2,109 Balance at December 31, 2022 ($167) ($24) ($9,359) ($9,550) Other comprehensive income/(loss) before reclassifications 33 2 41 (722) (2) (646) Amounts reclassified from AOCI (5) (104) (3) (109) Net current period Other comprehensive income/(loss) 33 2 36 (826) (755) Balance at December 31, 2023 ($134) $2 $12 ($10,185) ($10,305) (1) Net of tax. (2) Primarily related to remeasurement of assets and benefit obligations related to the Company's pension and other postretirement benefit plans resulting in an actuarial (loss)/gain of ($722), $1,533 and $4,262 (net of tax of $13, ($22) and ($32)) for the years ended December 31, 2023, 2022 and 2021. See Note 16. (3) Amounts reclassified from AOCI for the year ended December 31, 2023, primarily related to amortization of prior service credits totaling ($102) (net of tax of $1). Amounts reclassified from AOCI for the years ended December 31, 2022 and 2021, primarily related to amortization of actuarial losses totaling $791 and $1,155 (net of tax of ($11) and ($8)). These are included in net periodic pension cost. See Note 16. (4) Included losses of $39 (net of tax of ($11)) from cash flow hedges reclassified to Other income, net because the forecasted transactions are not probable of occurring.</t>
  </si>
  <si>
    <t>Derivative Financial Instruments (Tables)</t>
  </si>
  <si>
    <t>Schedule of Derivative Instruments in Statement of Financial Position, Fair Value</t>
  </si>
  <si>
    <t>The notional amounts and fair values of derivative instruments in the Consolidated Statements of Financial Position as of December 31 were as follows: Notional amounts (1) Other assets Accrued 2023 2022 2023 2022 2023 2022 Derivatives designated as hedging instruments: Foreign exchange contracts $4,120 $2,815 $85 $23 ($63) ($122) Commodity contracts 514 602 83 115 (8) (9) Derivatives not receiving hedge accounting treatment: Foreign exchange contracts 254 462 1 5 (32) (42) Commodity contracts 115 412 2 (2) (1) Total derivatives $5,003 $4,291 169 145 (105) (174) Netting arrangements (47) (33) 47 33 Net recorded balance $122 $112 ($58) ($141) (1) Notional amounts represent the gross contract/notional amount of the derivatives outstanding.</t>
  </si>
  <si>
    <t>Schedule of Derivative Instruments, Gains/(Losses) in Statement of Financial Performance</t>
  </si>
  <si>
    <t xml:space="preserve">Gains/(losses) associated with our hedging transactions and forward points recognized in Other comprehensive income are presented in the following table: Years ended December 31, 2023 2022 2021 Recognized in Other comprehensive income, net of taxes: Foreign exchange contracts $61 ($118) ($47) Commodity contracts (20) 78 102 </t>
  </si>
  <si>
    <t>Reclassification Out of Accumulated Other Comprehensive Income</t>
  </si>
  <si>
    <t xml:space="preserve">Gains/(losses) associated with our hedging transactions and forward points reclassified from AOCI to earnings are presented in the following table: Years ended December 31, 2023 2022 2021 Foreign exchange contracts Revenues $1 Costs and expenses ($15) 7 $13 General and administrative (17) (12) 8 Commodity contracts Costs and expenses $31 $31 ($18) General and administrative expense 7 10 5 </t>
  </si>
  <si>
    <t>Fair Value Measurements (Tables)</t>
  </si>
  <si>
    <t>Fair Value, Assets and Liabilities Measured on Recurring Basis</t>
  </si>
  <si>
    <t>The following table presents our assets and liabilities that are measured at fair value on a recurring basis and are categorized using the fair value hierarchy. December 31, 2023 December 31, 2022 Total Level 1 Level 2 Total Level 1 Level 2 Assets Money market funds $1,514 $1,514 $1,797 $1,797 Available-for-sale debt investments: Commercial paper 291 $291 256 $256 Corporate notes 183 183 195 195 U.S. government agencies 25 25 47 47 Other equity investments 44 44 10 10 Derivatives 122 122 112 112 Total assets $2,179 $1,558 $621 $2,417 $1,807 $610 Liabilities Derivatives ($58) ($58) ($141) ($141) Total liabilities ($58) ($58) ($141) ($141)</t>
  </si>
  <si>
    <t>Fair Value, Assets Measured on Nonrecurring Basis Using Unobservable Inputs</t>
  </si>
  <si>
    <t>The following table presents the nonrecurring losses recognized for the years ended December 31 due to long-lived asset impairment, and the fair value and asset classification of the related assets as of the impairment date: 2023 2022 Fair Value Total Losses Fair Value Total Losses Investments ($18) ($31) Operating lease equipment $47 (7) Property, plant and equipment $14 (26) (19) Other Assets (2) 15 (55) Total $14 ($46) $62 ($112)</t>
  </si>
  <si>
    <t>Fair Values and Related Carrying Values of Financial Instruments</t>
  </si>
  <si>
    <t>The fair values and related carrying values of financial instruments that are not required to be remeasured at fair value on the Consolidated Statements of Financial Position at December 31 were as follows: December 31, 2023 Carrying Amount Total Fair Value Level 1 Level 2 Level 3 Assets Notes receivable, net $257 $270 $270 Liabilities Debt, excluding finance lease obligations (52,055) (51,039) (51,039) December 31, 2022 Carrying Amount Total Fair Value Level 1 Level 2 Level 3 Assets Notes receivable, net $385 $403 $403 Liabilities Debt, excluding finance lease obligations (56,794) (52,856) (52,856)</t>
  </si>
  <si>
    <t>Segment and Revenue Information (Tables)</t>
  </si>
  <si>
    <t>Schedule of Revenue from External Customers Attributed to Foreign Countries by Geographic Area</t>
  </si>
  <si>
    <t xml:space="preserve">Revenues, including foreign military sales, are reported by customer location and consisted of the following: Years ended December 31, 2023 2022 2021 Europe $10,520 $7,916 $8,967 Asia 10,013 8,393 5,845 Middle East 6,594 5,047 4,653 Oceania 1,655 1,576 1,147 Canada 1,256 1,612 969 Africa 825 418 239 Latin America, Caribbean and other 1,524 2,412 1,376 Total non-U.S. revenues 32,387 27,374 23,196 United States 45,380 39,218 39,076 Estimated potential concessions and other considerations to 737 MAX customers 27 16 14 Total revenues $77,794 $66,608 $62,286 </t>
  </si>
  <si>
    <t>Schedule of Disaggregation of Revenue</t>
  </si>
  <si>
    <t>BCA revenues by customer location consisted of the following: Years ended December 31, 2023 2022 2021 Revenue from contracts with customers: Asia $6,328 $4,488 $2,816 Europe 6,172 4,085 4,387 Middle East 4,311 2,003 1,098 Other non-U.S. 2,431 3,042 1,683 Total non-U.S. revenues 19,242 13,618 9,984 United States 14,501 12,275 9,614 Estimated potential concessions and other considerations to 737 MAX customers 27 16 14 Total revenues from contracts with customers 33,770 25,909 19,612 Intersegment revenues, eliminated on consolidation 131 117 102 Total segment revenues $33,901 $26,026 $19,714 Revenue recognized on fixed-price contracts 100 % 100 % 100 % Revenue recognized at a point in time 99 % 99 % 99 % BDS revenues on contracts with customers, based on the customer's location, consisted of the following: Years ended December 31, 2023 2022 2021 Revenue from contracts with customers: U.S. customers $20,051 $17,144 $19,869 Non-U.S. customers (1) 4,882 6,018 6,671 Total segment revenue from contracts with customers $24,933 $23,162 $26,540 Revenue recognized over time 99 % 99 % 99 % Revenue recognized on fixed-price contracts 58 % 60 % 68 % Revenue from the U.S. government (1) 91 % 89 % 89 % (1) Includes revenues earned from foreign military sales through the U.S. government. BGS revenues consisted of the following: Years ended December 31, 2023 2022 2021 Revenue from contracts with customers: Commercial $11,020 $9,560 $7,527 Government 7,751 7,681 8,553 Total revenues from contracts with customers 18,771 17,241 16,080 Intersegment revenues eliminated on consolidation 356 370 248 Total segment revenues $19,127 $17,611 $16,328 Revenue recognized at a point in time 51 % 50 % 45 % Revenue recognized on fixed-price contracts 87 % 88 % 86 % Revenue from the U.S. government (1) 30 % 33 % 40 % (1) Includes revenues earned from foreign military sales through the U.S. government.</t>
  </si>
  <si>
    <t>Schedule of Unallocated Items and Eliminations</t>
  </si>
  <si>
    <t>Components of Unallocated items, eliminations and other (expense)/income are shown in the following table. Years ended December 31, 2023 2022 2021 Share-based plans $62 ($114) ($174) Deferred compensation (188) 117 (126) Amortization of previously capitalized interest (95) (95) (107) Research and development expense, net (315) (278) (184) Eliminations and other unallocated items (1,223) (1,134) (636) Unallocated items, eliminations and other ($1,759) ($1,504) ($1,227)</t>
  </si>
  <si>
    <t>Components of Financial Accounting Standards and Cost Accounting Standards Adjustment</t>
  </si>
  <si>
    <t xml:space="preserve">These expenses are included in Other income, net. Components of FAS/CAS service cost adjustment are shown in the following table: Years ended December 31, 2023 2022 2021 Pension FAS/CAS service cost adjustment $799 $849 $882 Postretirement FAS/CAS service cost adjustment 257 294 291 FAS/CAS service cost adjustment $1,056 $1,143 $1,173 </t>
  </si>
  <si>
    <t>Reconciliation of Assets from Segment to Consolidated</t>
  </si>
  <si>
    <t xml:space="preserve">Segment assets are summarized in the table below. December 31, 2023 2022 Commercial Airplanes $77,047 $76,825 Defense, Space &amp; Security 14,921 14,426 Global Services 16,193 16,149 Unallocated items, eliminations and other 28,851 29,700 Total $137,012 $137,100 </t>
  </si>
  <si>
    <t>Schedule of Capital Expenditures by Segment</t>
  </si>
  <si>
    <t xml:space="preserve">Capital Expenditures Years ended December 31, 2023 2022 2021 Commercial Airplanes $420 $218 $177 Defense, Space &amp; Security 192 202 199 Global Services 127 130 94 Unallocated items, eliminations and other 788 672 510 Total $1,527 $1,222 $980 </t>
  </si>
  <si>
    <t>Schedule of Depreciation and Amortization Expense by Segment</t>
  </si>
  <si>
    <t>Depreciation and Amortization Years ended December 31, 2023 2022 2021 Commercial Airplanes $464 $554 $594 Defense, Space &amp; Security 219 238 233 Global Services 320 346 414 Centrally Managed Assets (1) 858 841 903 Total $1,861 $1,979 $2,144 (1) Amounts shown in the table represent depreciation and amortization expense recorded by the individual business segments. Depreciation and amortization for centrally managed assets are included in segment operating earnings based on usage and occupancy. In 2023, $650 was included in the primary business segments, of which $311, $264 and $75 was included in BCA, BDS and BGS, respectively. In 2022, $644 was included in the primary business segments, of which $361, $230 and $53 was included in BCA, BDS and BGS, respectively. In 2021, $669 was included in the primary business segments, of which $387, $222 and $60 was included in BCA, BDS and BGS, respectively.</t>
  </si>
  <si>
    <t>Summary of Business Segment Data - Schedule of Segment Reporting Information, by Segment (Details) - USD ($) $ in Millions</t>
  </si>
  <si>
    <t>Segment Reporting Information [Line Items]</t>
  </si>
  <si>
    <t>Earnings from operations</t>
  </si>
  <si>
    <t>Operating Segments</t>
  </si>
  <si>
    <t>Operating Segments | Commercial Airplanes</t>
  </si>
  <si>
    <t>Operating Segments | Defense, Space &amp; Security</t>
  </si>
  <si>
    <t>Operating Segments | Global Services</t>
  </si>
  <si>
    <t>Unallocated items, eliminations and other</t>
  </si>
  <si>
    <t>FAS/CAS service cost adjustment</t>
  </si>
  <si>
    <t>Summary of Significant Accounting Policies - Narrative (Details) $ in Millions</t>
  </si>
  <si>
    <t>Dec. 31, 2023 USD ($) segment</t>
  </si>
  <si>
    <t>Dec. 31, 2022 USD ($)</t>
  </si>
  <si>
    <t>Dec. 31, 2021 USD ($)</t>
  </si>
  <si>
    <t>Schedule of Accounting Policies [Line Items]</t>
  </si>
  <si>
    <t>Number of reportable segments | segment</t>
  </si>
  <si>
    <t>Reinsurance revenues</t>
  </si>
  <si>
    <t>Reinsurance costs</t>
  </si>
  <si>
    <t>Capitalized Internal Use Software</t>
  </si>
  <si>
    <t>Property, plant and equipment, estimated useful lives (in years)</t>
  </si>
  <si>
    <t>5 years</t>
  </si>
  <si>
    <t>Minimum | Commercial Airplanes</t>
  </si>
  <si>
    <t>Standard warranty term</t>
  </si>
  <si>
    <t>3 years</t>
  </si>
  <si>
    <t>Minimum | Defense, Space &amp; Security</t>
  </si>
  <si>
    <t>6 months</t>
  </si>
  <si>
    <t>Minimum | Developed technology</t>
  </si>
  <si>
    <t>Finite-lived acquired intangible assets, useful lives (in years)</t>
  </si>
  <si>
    <t>4 years</t>
  </si>
  <si>
    <t>Minimum | Product know-how</t>
  </si>
  <si>
    <t>6 years</t>
  </si>
  <si>
    <t>Minimum | Customer base</t>
  </si>
  <si>
    <t>Minimum | Distribution rights</t>
  </si>
  <si>
    <t>Minimum | Other Intangible Assets</t>
  </si>
  <si>
    <t>1 year</t>
  </si>
  <si>
    <t>Minimum | Buildings and Land Improvements</t>
  </si>
  <si>
    <t>10 years</t>
  </si>
  <si>
    <t>Minimum | Machinery and equipment</t>
  </si>
  <si>
    <t>Maximum | Commercial Airplanes</t>
  </si>
  <si>
    <t>Maximum | Defense, Space &amp; Security</t>
  </si>
  <si>
    <t>2 years</t>
  </si>
  <si>
    <t>Maximum | Developed technology</t>
  </si>
  <si>
    <t>14 years</t>
  </si>
  <si>
    <t>Maximum | Product know-how</t>
  </si>
  <si>
    <t>30 years</t>
  </si>
  <si>
    <t>Maximum | Customer base</t>
  </si>
  <si>
    <t>17 years</t>
  </si>
  <si>
    <t>Maximum | Distribution rights</t>
  </si>
  <si>
    <t>27 years</t>
  </si>
  <si>
    <t>Maximum | Other Intangible Assets</t>
  </si>
  <si>
    <t>32 years</t>
  </si>
  <si>
    <t>Maximum | Buildings and Land Improvements</t>
  </si>
  <si>
    <t>40 years</t>
  </si>
  <si>
    <t>Maximum | Machinery and equipment</t>
  </si>
  <si>
    <t>20 years</t>
  </si>
  <si>
    <t>Maximum | 7372 Services, Prepackaged Software</t>
  </si>
  <si>
    <t>Bank Overdrafts</t>
  </si>
  <si>
    <t>Bid and Proposal Costs</t>
  </si>
  <si>
    <t>Summary of Significant Accounting Policies - Schedule of Change in Accounting Estimate (Details) - USD ($) $ / shares in Units, $ in Millions</t>
  </si>
  <si>
    <t>Decrease to Revenue</t>
  </si>
  <si>
    <t>Increase to Loss from operations</t>
  </si>
  <si>
    <t>Increase to Diluted loss per share (in dollars per share)</t>
  </si>
  <si>
    <t>Goodwill and Acquired Intangibles - Schedule of Goodwill by Reportable Segment (Details) - USD ($) $ in Millions</t>
  </si>
  <si>
    <t>Goodwill [Roll Forward]</t>
  </si>
  <si>
    <t>Goodwill, beginning balance</t>
  </si>
  <si>
    <t>Goodwill adjustments</t>
  </si>
  <si>
    <t>Goodwill, ending balance</t>
  </si>
  <si>
    <t>Acquisitions</t>
  </si>
  <si>
    <t>Commercial Airplanes</t>
  </si>
  <si>
    <t>Commercial Airplanes | Operating Segments</t>
  </si>
  <si>
    <t>Defense, Space &amp; Security</t>
  </si>
  <si>
    <t>Defense, Space &amp; Security | Operating Segments</t>
  </si>
  <si>
    <t>Global Services</t>
  </si>
  <si>
    <t>Global Services | Operating Segments</t>
  </si>
  <si>
    <t>Other | Operating Segments</t>
  </si>
  <si>
    <t>Goodwill and Acquired Intangibles - Narrative (Details) - USD ($) $ in Millions</t>
  </si>
  <si>
    <t>Carrying amount of indefinite-lived intangible assets relating to trade names</t>
  </si>
  <si>
    <t>Carrying amount of indefinite-lived research and development</t>
  </si>
  <si>
    <t>Amortization of intangible assets</t>
  </si>
  <si>
    <t>Goodwill and Acquired Intangibles - Schedule of Finite-Lived Intangible Assets (Details) - USD ($) $ in Millions</t>
  </si>
  <si>
    <t>Finite-Lived Intangible Assets [Line Items]</t>
  </si>
  <si>
    <t>Gross Carrying Amount</t>
  </si>
  <si>
    <t>Accumulated Amortization</t>
  </si>
  <si>
    <t>Distribution rights</t>
  </si>
  <si>
    <t>Product know-how</t>
  </si>
  <si>
    <t>Customer base</t>
  </si>
  <si>
    <t>Developed technology</t>
  </si>
  <si>
    <t>Goodwill and Acquired Intangibles - Schedule of Finite-Lived Intangible Assets, Future Amortization Expense (Details) $ in Millions</t>
  </si>
  <si>
    <t>Dec. 31, 2023 USD ($)</t>
  </si>
  <si>
    <t>2024</t>
  </si>
  <si>
    <t>2025</t>
  </si>
  <si>
    <t>2026</t>
  </si>
  <si>
    <t>2027</t>
  </si>
  <si>
    <t>2028</t>
  </si>
  <si>
    <t>Earnings Per Share - Schedule of Weighted Average Number of Shares (Details) - USD ($) $ / shares in Units, shares in Millions, $ in Millions</t>
  </si>
  <si>
    <t>Undistributed Earnings (Loss) Allocated to Participating Securities, Basic</t>
  </si>
  <si>
    <t>Net loss available to common shareholders, basic</t>
  </si>
  <si>
    <t>Net loss available to common shareholders, diluted</t>
  </si>
  <si>
    <t>Weighted average number of shares issued, basic (in shares)</t>
  </si>
  <si>
    <t>Participating securities (in shares)</t>
  </si>
  <si>
    <t>Basic weighted average common shares outstanding (in shares)</t>
  </si>
  <si>
    <t>Diluted weighted average shares outstanding (in shares)</t>
  </si>
  <si>
    <t>Diluted weighted average common shares outstanding (in shares)</t>
  </si>
  <si>
    <t>Earnings Per Share - Schedule of Weighted Average Number of Shares Outstanding Excluded from the Computation of Diluted Earnings Per Share (Details) - Antidilutive or Performance Condition not Met - shares shares in Millions</t>
  </si>
  <si>
    <t>Performance awards</t>
  </si>
  <si>
    <t>Antidilutive Securities Excluded from Computation of Earnings Per Share [Line Items]</t>
  </si>
  <si>
    <t>Shares excluded from the computation of diluted earnings (in shares)</t>
  </si>
  <si>
    <t>Performance-based restricted stock units</t>
  </si>
  <si>
    <t>Restricted stock units</t>
  </si>
  <si>
    <t>Stock options</t>
  </si>
  <si>
    <t>Earnings Per Share - Narrative (Details) - shares shares in Millions</t>
  </si>
  <si>
    <t>Antidilutive due to Net Loss</t>
  </si>
  <si>
    <t>Income Taxes - Components of Earnings Before Income Taxes Between Domestic and Foreign Jurisdictions (Details) - USD ($) $ in Millions</t>
  </si>
  <si>
    <t>U.S.</t>
  </si>
  <si>
    <t>Non-U.S.</t>
  </si>
  <si>
    <t>Income Taxes - Schedule of Income Tax Expense/(Benefit) (Details) - USD ($) $ in Millions</t>
  </si>
  <si>
    <t>Current tax (benefit)/expense</t>
  </si>
  <si>
    <t>U.S. federal</t>
  </si>
  <si>
    <t>U.S. state</t>
  </si>
  <si>
    <t>Total current</t>
  </si>
  <si>
    <t>Deferred tax (benefit)/expense</t>
  </si>
  <si>
    <t>Total deferred</t>
  </si>
  <si>
    <t>Income Tax Expense (Benefit), Continuing Operations [Abstract]</t>
  </si>
  <si>
    <t>Total income tax expense/(benefit)</t>
  </si>
  <si>
    <t>Income Taxes - Narrative (Details) - USD ($) $ in Millions</t>
  </si>
  <si>
    <t>Significant Change in Unrecognized Tax Benefits is Reasonably Possible [Line Items]</t>
  </si>
  <si>
    <t>Net income tax payments/(refunds)</t>
  </si>
  <si>
    <t>Deferred tax assets</t>
  </si>
  <si>
    <t>Deferred tax liabilities</t>
  </si>
  <si>
    <t>Valuation allowance</t>
  </si>
  <si>
    <t>Valuation allowance, deferred tax asset, increase (decrease), amount</t>
  </si>
  <si>
    <t>Federal, state, and local, income tax expense (benefit), increase (decrease), amount</t>
  </si>
  <si>
    <t>Unrecognized tax benefits that would affect the effective tax rate, if recognized</t>
  </si>
  <si>
    <t>Decrease in unrecognized tax benefits is reasonably possible</t>
  </si>
  <si>
    <t>Continuing Operations</t>
  </si>
  <si>
    <t>Other Comprehensive Income (Loss)</t>
  </si>
  <si>
    <t>Income Taxes - Schedule of Effective Income Tax Rate Reconciliation (Details) - USD ($) $ in Millions</t>
  </si>
  <si>
    <t>Amount</t>
  </si>
  <si>
    <t>U.S. federal statutory tax</t>
  </si>
  <si>
    <t>Research and development credits</t>
  </si>
  <si>
    <t>State income tax provision, net of effects on U.S. federal tax</t>
  </si>
  <si>
    <t>Tax on non-U.S. activities</t>
  </si>
  <si>
    <t>Impact of subsidiary shares purchased from noncontrolling interests</t>
  </si>
  <si>
    <t>Other provision adjustments</t>
  </si>
  <si>
    <t>Effective Income Tax Rate Reconciliation, Percent [Abstract]</t>
  </si>
  <si>
    <t>(57.30%)</t>
  </si>
  <si>
    <t>(23.90%)</t>
  </si>
  <si>
    <t>(10.20%)</t>
  </si>
  <si>
    <t>(1.80%)</t>
  </si>
  <si>
    <t>(1.30%)</t>
  </si>
  <si>
    <t>(0.90%)</t>
  </si>
  <si>
    <t>(2.50%)</t>
  </si>
  <si>
    <t>(2.30%)</t>
  </si>
  <si>
    <t>Effective income tax rate</t>
  </si>
  <si>
    <t>(11.80%)</t>
  </si>
  <si>
    <t>(0.60%)</t>
  </si>
  <si>
    <t>Income Taxes - Significant Components of Deferred Tax Assets Net of Deferred Tax Liabilities (Details) - USD ($) $ in Millions</t>
  </si>
  <si>
    <t>Valuation Allowance [Line Items]</t>
  </si>
  <si>
    <t>Inventory and long-term contract methods of income recognition</t>
  </si>
  <si>
    <t>Research expenditures</t>
  </si>
  <si>
    <t>Fixed assets, intangibles and goodwill</t>
  </si>
  <si>
    <t>Pension benefits</t>
  </si>
  <si>
    <t>Other employee benefits</t>
  </si>
  <si>
    <t>Accrued expenses and reserves</t>
  </si>
  <si>
    <t>Other postretirement benefit obligations</t>
  </si>
  <si>
    <t>737 MAX customer concessions and other considerations</t>
  </si>
  <si>
    <t>Gross deferred tax assets/(liabilities) before valuation allowance</t>
  </si>
  <si>
    <t>Net deferred tax assets/(liabilities) after valuation allowance</t>
  </si>
  <si>
    <t>Federal Tax Authority</t>
  </si>
  <si>
    <t>Federal and state net operating loss, credit, interest and other carryovers</t>
  </si>
  <si>
    <t>Deferred tax asset for net operating loss and credit carryovers each year through December 31, 2043</t>
  </si>
  <si>
    <t>Deferred tax asset for net operating loss and credit carryovers indefinitely</t>
  </si>
  <si>
    <t>State Tax Authority</t>
  </si>
  <si>
    <t>Income Taxes - Net Deferred Tax Assets and Liabilities (Details) - USD ($) $ in Millions</t>
  </si>
  <si>
    <t>Net deferred tax assets/(liabilities)</t>
  </si>
  <si>
    <t>Income Taxes - Schedule of Unrecognized Tax Benefits Roll Forward (Details) - USD ($) $ in Millions</t>
  </si>
  <si>
    <t>Reconciliation of Unrecognized Tax Benefits, Excluding Amounts Pertaining to Examined Tax Returns [Roll Forward]</t>
  </si>
  <si>
    <t>Unrecognized tax benefits – January 1</t>
  </si>
  <si>
    <t>Gross increases – tax positions in prior periods</t>
  </si>
  <si>
    <t>Gross decreases – tax positions in prior periods</t>
  </si>
  <si>
    <t>Gross increases – current period tax positions</t>
  </si>
  <si>
    <t>Gross decreases – current period tax positions</t>
  </si>
  <si>
    <t>Unrecognized tax benefits – December 31</t>
  </si>
  <si>
    <t>Accounts Receivable, net - Schedule of Accounts Receivable (Details) - USD ($) $ in Millions</t>
  </si>
  <si>
    <t>Accounts Receivables [Line Items]</t>
  </si>
  <si>
    <t>Less valuation allowance</t>
  </si>
  <si>
    <t>U.S. government contracts</t>
  </si>
  <si>
    <t>Accounts receivable, before allowance for credit loss, current</t>
  </si>
  <si>
    <t>Defense, Space, &amp; Security</t>
  </si>
  <si>
    <t>Allowance for Losses on Financial Assets - Schedule of Financial Assets, Allowance for Credit Loss (Details) - USD ($) $ in Millions</t>
  </si>
  <si>
    <t>Contract with Customer, Asset, Allowance for Credit Loss [Roll Forward]</t>
  </si>
  <si>
    <t>Account receivable, allowance for credit loss, beginning balance</t>
  </si>
  <si>
    <t>Unbilled receivables, allowance for credit loss, beginning balance</t>
  </si>
  <si>
    <t>Allowance for credit loss, beginning balance</t>
  </si>
  <si>
    <t>Customer financing, allowance for credit loss, beginning balance</t>
  </si>
  <si>
    <t>Accounts receivable, changes in estimates</t>
  </si>
  <si>
    <t>Unbilled receivables, changes in estimates</t>
  </si>
  <si>
    <t>Customer financing, changes in estimates, rounding</t>
  </si>
  <si>
    <t>Customer financing, changes in estimates</t>
  </si>
  <si>
    <t>Changes in estimates</t>
  </si>
  <si>
    <t>Accounts receivable, write-offs</t>
  </si>
  <si>
    <t>Unbilled receivables, write-offs</t>
  </si>
  <si>
    <t>Write-offs</t>
  </si>
  <si>
    <t>Accounts receivable, recovery</t>
  </si>
  <si>
    <t>Recoveries</t>
  </si>
  <si>
    <t>Account receivable, allowance for credit loss, ending balance</t>
  </si>
  <si>
    <t>Unbilled receivables, allowance for credit loss, ending balance</t>
  </si>
  <si>
    <t>Allowance for credit loss, ending balance</t>
  </si>
  <si>
    <t>Customer financing, allowance for credit loss, ending balance</t>
  </si>
  <si>
    <t>Other Current Assets</t>
  </si>
  <si>
    <t>Other Assets</t>
  </si>
  <si>
    <t>Inventories - Schedule of Inventory, Current (Details) - USD ($) $ in Millions</t>
  </si>
  <si>
    <t>Commercial aircraft programs</t>
  </si>
  <si>
    <t>Long-term contracts in progress</t>
  </si>
  <si>
    <t>Capitalized precontract costs</t>
  </si>
  <si>
    <t>Commercial spare parts, used aircraft, general stock materials and other</t>
  </si>
  <si>
    <t>Inventories - Narrative (Details) - USD ($) $ in Millions</t>
  </si>
  <si>
    <t>Early Issue Sales Consideration</t>
  </si>
  <si>
    <t>Inventories [Line Items]</t>
  </si>
  <si>
    <t>Inventory subject to uncertainty</t>
  </si>
  <si>
    <t>Airplane Program 737</t>
  </si>
  <si>
    <t>Deferred production costs</t>
  </si>
  <si>
    <t>Unamortized tooling and other non-recurring costs</t>
  </si>
  <si>
    <t>Deferred production, unamortized tooling and other nonrecurring costs to be recovered from firm orders at the balance sheet date</t>
  </si>
  <si>
    <t>Deferred production, unamortized tooling and other nonrecurring costs to be recovered from future orders</t>
  </si>
  <si>
    <t>Airplane Program 777x</t>
  </si>
  <si>
    <t>Inventory, work in process</t>
  </si>
  <si>
    <t>Abnormal production costs</t>
  </si>
  <si>
    <t>Airplane Program 787</t>
  </si>
  <si>
    <t>Supplier advances</t>
  </si>
  <si>
    <t>Contracts with Customers - Narrative (Details) - USD ($) $ in Millions</t>
  </si>
  <si>
    <t>Schedule of Contract Assets and Liabilities [Line Items]</t>
  </si>
  <si>
    <t>Contract with customer, liability, revenue recognized</t>
  </si>
  <si>
    <t>Commercial</t>
  </si>
  <si>
    <t>Unbilled receivables, expected to be collected after one year</t>
  </si>
  <si>
    <t>Contracts with Customers - Schedule of Unbilled Receivables and Claims) (Details) - USD ($) $ in Millions</t>
  </si>
  <si>
    <t>Contract with customers, unbilled, current</t>
  </si>
  <si>
    <t>Contract with customers, expected to be collected after one year</t>
  </si>
  <si>
    <t>Contract with customers, less valuation allowance</t>
  </si>
  <si>
    <t>Total unbilled receivables</t>
  </si>
  <si>
    <t>Contracts with customers, claims, current</t>
  </si>
  <si>
    <t>Contract with customers, claims, expected to be collected after one year</t>
  </si>
  <si>
    <t>Total claims receivables</t>
  </si>
  <si>
    <t>Financing Receivables and Operating Lease Equipment - Schedule of Financing Receivables and Operating Lease Equipment, Net (Details) - USD ($) $ in Millions</t>
  </si>
  <si>
    <t>Investment in sales-type leases</t>
  </si>
  <si>
    <t>Notes</t>
  </si>
  <si>
    <t>Total financing receivables</t>
  </si>
  <si>
    <t>Less allowance for losses on receivables</t>
  </si>
  <si>
    <t>Financing receivables, net</t>
  </si>
  <si>
    <t>Operating lease equipment, at cost, less accumulated depreciation of $70 and $76</t>
  </si>
  <si>
    <t>Operating lease equipment, accumulated depreciation</t>
  </si>
  <si>
    <t>Financing Receivables and Operating Lease Equipment - Narrative (Details) - USD ($) $ in Millions</t>
  </si>
  <si>
    <t>Financing Receivables and Operating Lease Equipment [Line Items]</t>
  </si>
  <si>
    <t>Financing receivable, nonaccrual, no allowance</t>
  </si>
  <si>
    <t>Financing receivable, nonaccrual, interest income</t>
  </si>
  <si>
    <t>Financing receivable, 90 days or more past due, still accruing</t>
  </si>
  <si>
    <t>Sales-type and direct financing leases, lease income</t>
  </si>
  <si>
    <t>Operating lease, lease income</t>
  </si>
  <si>
    <t>Operating Lease, Lease Income, Statement of Income or Comprehensive Income [Extensible Enumeration]</t>
  </si>
  <si>
    <t>Sales-type and direct financing leases, profit (loss)</t>
  </si>
  <si>
    <t>Unguaranteed residual assets</t>
  </si>
  <si>
    <t>Operating Lease Assets</t>
  </si>
  <si>
    <t>CCC</t>
  </si>
  <si>
    <t>Percentage of credit default rates applied to customers</t>
  </si>
  <si>
    <t>B</t>
  </si>
  <si>
    <t>BB</t>
  </si>
  <si>
    <t>BBB</t>
  </si>
  <si>
    <t>Minimum</t>
  </si>
  <si>
    <t>Lessee, finance lease, term of contract (in years)</t>
  </si>
  <si>
    <t>Maximum</t>
  </si>
  <si>
    <t>12 years</t>
  </si>
  <si>
    <t>Financing Receivables and Operating Lease Equipment - Components of Investment in Sales-Type or Finance Leases (Details) - USD ($) $ in Millions</t>
  </si>
  <si>
    <t>Gross lease payments receivable</t>
  </si>
  <si>
    <t>Unearned income</t>
  </si>
  <si>
    <t>Net lease payments receivable</t>
  </si>
  <si>
    <t>Financing Receivables and Operating Lease Equipment - Financing Receivable Credit Quality Indicators (Details) - USD ($) $ in Millions</t>
  </si>
  <si>
    <t>Financing Receivable, Credit Quality Indicator [Line Items]</t>
  </si>
  <si>
    <t>Current</t>
  </si>
  <si>
    <t>2022</t>
  </si>
  <si>
    <t>2021</t>
  </si>
  <si>
    <t>2020</t>
  </si>
  <si>
    <t>2019</t>
  </si>
  <si>
    <t>Prior</t>
  </si>
  <si>
    <t>Financing Receivables and Operating Lease Equipment - Schedule of Customer Financing Carrying Values Related to Major Aircraft Concentrations (Details) - USD ($) $ in Millions</t>
  </si>
  <si>
    <t>Operating lease equipment</t>
  </si>
  <si>
    <t>B-717 Aircraft</t>
  </si>
  <si>
    <t>Gross customer financing</t>
  </si>
  <si>
    <t>B-747-8</t>
  </si>
  <si>
    <t>B-737 Aircraft</t>
  </si>
  <si>
    <t>B-777</t>
  </si>
  <si>
    <t>MD-80 Aircraft</t>
  </si>
  <si>
    <t>B-757 Aircraft</t>
  </si>
  <si>
    <t>B-747-400 aircraft</t>
  </si>
  <si>
    <t>Financing Receivables and Operating Lease Equipment - Scheduled Receipts on Customer Financing (Details) - USD ($) $ in Millions</t>
  </si>
  <si>
    <t>Notes receivable</t>
  </si>
  <si>
    <t>Year 1</t>
  </si>
  <si>
    <t>Year 2</t>
  </si>
  <si>
    <t>Year 3</t>
  </si>
  <si>
    <t>Year 4</t>
  </si>
  <si>
    <t>Year 5</t>
  </si>
  <si>
    <t>Thereafter</t>
  </si>
  <si>
    <t>Total financing receipts</t>
  </si>
  <si>
    <t>Sales-type leases</t>
  </si>
  <si>
    <t>Less imputed interest</t>
  </si>
  <si>
    <t>Operating leases</t>
  </si>
  <si>
    <t>Property, Plant and Equipment - Schedule of Property, Plant and Equipment (Details) - USD ($) $ in Millions</t>
  </si>
  <si>
    <t>Property, Plant and Equipment [Line Items]</t>
  </si>
  <si>
    <t>Gross property, plant and equipment</t>
  </si>
  <si>
    <t>Less accumulated depreciation</t>
  </si>
  <si>
    <t>Land</t>
  </si>
  <si>
    <t>Buildings and land improvements</t>
  </si>
  <si>
    <t>Machinery and equipment</t>
  </si>
  <si>
    <t>Construction in progress</t>
  </si>
  <si>
    <t>Property, Plant and Equipment - Narrative (Details) - USD ($) $ in Millions</t>
  </si>
  <si>
    <t>Interest capitalized</t>
  </si>
  <si>
    <t>Property, plant and equipment additions, non-cash</t>
  </si>
  <si>
    <t>Property, plant and equipment included in accounts payable</t>
  </si>
  <si>
    <t>Property, plant and equipment</t>
  </si>
  <si>
    <t>Depreciation</t>
  </si>
  <si>
    <t>Investments - Schedule of Investments (Details) - USD ($) $ in Millions</t>
  </si>
  <si>
    <t>Time deposits</t>
  </si>
  <si>
    <t>Equity method investments</t>
  </si>
  <si>
    <t>Available-for-sale debt investments</t>
  </si>
  <si>
    <t>Equity and other investments</t>
  </si>
  <si>
    <t>Restricted cash and cash equivalents</t>
  </si>
  <si>
    <t>Dividends received from equity method investments</t>
  </si>
  <si>
    <t>Undistributed earnings from equity method investments</t>
  </si>
  <si>
    <t>Investments - Narrative (Details) - USD ($) $ in Millions</t>
  </si>
  <si>
    <t>Schedule of Equity Method Investments [Line Items]</t>
  </si>
  <si>
    <t>Time Deposits</t>
  </si>
  <si>
    <t>Investments - Schedule of Equity Method Investments (Details) - USD ($) $ in Millions</t>
  </si>
  <si>
    <t>Defense, Space &amp; Security | United Launch Alliance</t>
  </si>
  <si>
    <t>Equity method investment, ownership percentage</t>
  </si>
  <si>
    <t>BCA, BDS, BGS and Other</t>
  </si>
  <si>
    <t>Leases - Narrative (Details) - USD ($) $ in Millions</t>
  </si>
  <si>
    <t>Lessee, Lease, Description [Line Items]</t>
  </si>
  <si>
    <t>Operating lease, cost</t>
  </si>
  <si>
    <t>Variable lease, cost</t>
  </si>
  <si>
    <t>Operating lease, payments</t>
  </si>
  <si>
    <t>Right-of-use asset obtained in exchange for operating lease liability</t>
  </si>
  <si>
    <t>Lessee, operating lease, lease not yet commenced, value</t>
  </si>
  <si>
    <t>Lessee, operating lease, lease not yet commenced, term of contract</t>
  </si>
  <si>
    <t>Leases - Schedule of Supplemental Balance Sheet Information Related to Operating Leases (Details) - USD ($) $ in Millions</t>
  </si>
  <si>
    <t>Operating lease right-of-use assets</t>
  </si>
  <si>
    <t>Current portion of lease liabilities</t>
  </si>
  <si>
    <t>Non-current portion of lease liabilities</t>
  </si>
  <si>
    <t>Total operating lease liabilities</t>
  </si>
  <si>
    <t>Weighted average remaining lease term (years)</t>
  </si>
  <si>
    <t>11 years</t>
  </si>
  <si>
    <t>Weighted average discount rate</t>
  </si>
  <si>
    <t>Operating Lease, Right-of-Use Asset, Statement of Financial Position [Extensible Enumeration]</t>
  </si>
  <si>
    <t>Operating Lease, Liability, Current, Statement of Financial Position [Extensible Enumeration]</t>
  </si>
  <si>
    <t>Liabilities, Current</t>
  </si>
  <si>
    <t>Operating Lease, Liability, Noncurrent, Statement of Financial Position [Extensible Enumeration]</t>
  </si>
  <si>
    <t>Leases - Schedule of Maturities of Operating Liabilities (Details) - USD ($) $ in Millions</t>
  </si>
  <si>
    <t>Total lease payments</t>
  </si>
  <si>
    <t>Liabilities, Commitments and Contingencies - Schedule of Accrued Liabilities (Details) - USD ($) $ in Millions</t>
  </si>
  <si>
    <t>Accrued compensation and employee benefit costs</t>
  </si>
  <si>
    <t>Other customer concessions and considerations</t>
  </si>
  <si>
    <t>Environmental</t>
  </si>
  <si>
    <t>Product warranties</t>
  </si>
  <si>
    <t>Forward loss recognition</t>
  </si>
  <si>
    <t>Accrued interest payable</t>
  </si>
  <si>
    <t>Current portion of retiree healthcare and pension liabilities</t>
  </si>
  <si>
    <t>Liabilities, Commitments and Contingencies - Narrative (Details) $ in Millions</t>
  </si>
  <si>
    <t>84 Months Ended</t>
  </si>
  <si>
    <t>Dec. 31, 2023 USD ($) aircraft</t>
  </si>
  <si>
    <t>Sep. 30, 2019 USD ($)</t>
  </si>
  <si>
    <t>Dec. 31, 2022 USD ($) lot</t>
  </si>
  <si>
    <t>Dec. 31, 2016 USD ($) aircraft lot</t>
  </si>
  <si>
    <t>Dec. 31, 2019 aircraft</t>
  </si>
  <si>
    <t>Dec. 31, 2018 USD ($) simulator aircraft</t>
  </si>
  <si>
    <t>Dec. 31, 2011 tanker lot</t>
  </si>
  <si>
    <t>Loss Contingencies [Line Items]</t>
  </si>
  <si>
    <t>Amount by which estimated range of reasonably possible remediation costs exceeded recorded liabilities</t>
  </si>
  <si>
    <t>Contingent liabilities on outstanding letters of credit agreements and surety bonds</t>
  </si>
  <si>
    <t>Cash surrender value of life insurance policies</t>
  </si>
  <si>
    <t>Total value of loans against underlying life insurance policies</t>
  </si>
  <si>
    <t>Offsetting capital lease obligation and IRB asset</t>
  </si>
  <si>
    <t>Number of commercial aircraft | aircraft</t>
  </si>
  <si>
    <t>VC-25B</t>
  </si>
  <si>
    <t>Contract value</t>
  </si>
  <si>
    <t>Increase (decrease) in earnings from operations due to change in accounting estimate.</t>
  </si>
  <si>
    <t>KC-46A Tanker</t>
  </si>
  <si>
    <t>Number of annual production lot | lot</t>
  </si>
  <si>
    <t>Number of generation aerial refueling tanker | tanker</t>
  </si>
  <si>
    <t>Number of aircraft | aircraft</t>
  </si>
  <si>
    <t>Number of low rate initial production lot | lot</t>
  </si>
  <si>
    <t>KC-46A Tanker | Capitalized Precontract Costs</t>
  </si>
  <si>
    <t>KC-46A Tanker | Potential Termination Liabilities</t>
  </si>
  <si>
    <t>MQ-25</t>
  </si>
  <si>
    <t>T-7A EMD</t>
  </si>
  <si>
    <t>Number of simulator | simulator</t>
  </si>
  <si>
    <t>T-7A Production</t>
  </si>
  <si>
    <t>T-7A Production | Capitalized Precontract Costs</t>
  </si>
  <si>
    <t>T-7A Production | Potential Termination Liabilities</t>
  </si>
  <si>
    <t>Commercial Crew</t>
  </si>
  <si>
    <t>Commercial Crew | Capitalized Precontract Costs</t>
  </si>
  <si>
    <t>Commercial Crew | Potential Termination Liabilities</t>
  </si>
  <si>
    <t>SOUTH CAROLINA</t>
  </si>
  <si>
    <t>Cash grants, amount</t>
  </si>
  <si>
    <t>Inventory, amortization</t>
  </si>
  <si>
    <t>SOUTH CAROLINA | Accrued Liabilities</t>
  </si>
  <si>
    <t>Income tax (expense) benefit, continuing operations, government grants</t>
  </si>
  <si>
    <t>SOUTH CAROLINA | Inventories</t>
  </si>
  <si>
    <t>SOUTH CAROLINA | Cost of Sales</t>
  </si>
  <si>
    <t>State of Missouri and City Of Irving, Texas</t>
  </si>
  <si>
    <t>Other receivables, net, current</t>
  </si>
  <si>
    <t>Proceeds from income tax refunds</t>
  </si>
  <si>
    <t>State of Missouri and City Of Irving, Texas | Cost of Sales</t>
  </si>
  <si>
    <t>Queensland, Australia</t>
  </si>
  <si>
    <t>Maximum eligible cash grants, amount</t>
  </si>
  <si>
    <t>Tax refunds, clawback amount</t>
  </si>
  <si>
    <t>Queensland, Australia | Cost of Sales</t>
  </si>
  <si>
    <t>Supply Chain Financing</t>
  </si>
  <si>
    <t>Accounts payable, trade</t>
  </si>
  <si>
    <t>Minimum | Supplier Finance Program, Majority of Amounts Payable</t>
  </si>
  <si>
    <t>Supplier finance program, payment timing, period</t>
  </si>
  <si>
    <t>30 days</t>
  </si>
  <si>
    <t>12 months</t>
  </si>
  <si>
    <t>Maximum | Supplier Finance Program, Majority of Amounts Payable</t>
  </si>
  <si>
    <t>90 days</t>
  </si>
  <si>
    <t>Financing Commitment</t>
  </si>
  <si>
    <t>Other commitment</t>
  </si>
  <si>
    <t>Joint Venture</t>
  </si>
  <si>
    <t>Other commitment, period</t>
  </si>
  <si>
    <t>9 years</t>
  </si>
  <si>
    <t>Total Contractual Trade in Value Maximum | Commercial Aircraft Commitments</t>
  </si>
  <si>
    <t>Net Amounts Payable to Customers Related to Probable Contractual Trade-in Commitments | Commercial Aircraft Commitments</t>
  </si>
  <si>
    <t>Probable Contractual Trade in Value | Commercial Aircraft Commitments</t>
  </si>
  <si>
    <t>Contingent on Customer Negotiations</t>
  </si>
  <si>
    <t>Cash Payments to Customers</t>
  </si>
  <si>
    <t>Liabilities, Commitments, and Contingencies - Schedule of 737 Max Customer Concessions and Other Considerations Liability (Details) - B-737 Aircraft - USD ($) $ in Millions</t>
  </si>
  <si>
    <t>Customer Concession And Other Consideration Liability [Roll Forward]</t>
  </si>
  <si>
    <t>Beginning balance – January 1</t>
  </si>
  <si>
    <t>Reductions for payments made</t>
  </si>
  <si>
    <t>Reductions for concessions and other in-kind considerations</t>
  </si>
  <si>
    <t>Ending balance – December 31</t>
  </si>
  <si>
    <t>Liabilities, Commitments and Contingencies - Schedule of Environmental Remediation Activity (Details) - USD ($) $ in Millions</t>
  </si>
  <si>
    <t>Accrual for Environmental Loss Contingencies [Roll Forward]</t>
  </si>
  <si>
    <t>Reductions for payments made, net of recoveries</t>
  </si>
  <si>
    <t>Liabilities, Commitments and Contingencies - Schedule of Product Warranty Activity (Details) - USD ($) $ in Millions</t>
  </si>
  <si>
    <t>Movement in Standard Product Warranty Accrual [Roll Forward]</t>
  </si>
  <si>
    <t>Additions for current year deliveries</t>
  </si>
  <si>
    <t>Ending balance – December 31</t>
  </si>
  <si>
    <t>Liabilities, Commitments and Contingencies - Schedule of Contractual Obligation, Fiscal Year Maturity (Details) - Financing Commitment - USD ($) $ in Millions</t>
  </si>
  <si>
    <t>Other Commitments, Fiscal Year Maturity [Line Items]</t>
  </si>
  <si>
    <t>Arrangements with Off-Balance Sheet Risk - Schedule of Guarantor Obligations (Details) - USD ($) $ in Millions</t>
  </si>
  <si>
    <t>Contingent repurchase commitments</t>
  </si>
  <si>
    <t>Guarantor Obligations [Line Items]</t>
  </si>
  <si>
    <t>Maximum Potential Payments</t>
  </si>
  <si>
    <t>Estimated Proceeds from Collateral/ Recourse</t>
  </si>
  <si>
    <t>Carrying Amount of Liabilities</t>
  </si>
  <si>
    <t>Credit guarantees</t>
  </si>
  <si>
    <t>Debt - Narrative (Details) - USD ($) $ in Millions</t>
  </si>
  <si>
    <t>Sep. 30, 2023</t>
  </si>
  <si>
    <t>Debt Instrument [Line Items]</t>
  </si>
  <si>
    <t>Line of credit facility, expiration period</t>
  </si>
  <si>
    <t>Interest costs incurred</t>
  </si>
  <si>
    <t>Interest paid, including capitalized interest, operating and investing activities</t>
  </si>
  <si>
    <t>Five Year Credit Facility Expiring - August 2028</t>
  </si>
  <si>
    <t>Line of credit facility, maximum borrowing capacity</t>
  </si>
  <si>
    <t>364 Day Revolving Credit Facility - Expiring August 2024</t>
  </si>
  <si>
    <t>364 days</t>
  </si>
  <si>
    <t>364 Day Revolving Credit Facility - Expiring August 2025</t>
  </si>
  <si>
    <t>Line of credit facility, term out period</t>
  </si>
  <si>
    <t>Three Year Credit Facility - Expiring August 2025</t>
  </si>
  <si>
    <t>Five Year Credit Facility - Expiring October 2024</t>
  </si>
  <si>
    <t>Revolving Credit Facility</t>
  </si>
  <si>
    <t>Debt - Schedule of Short-Term Debt and Current Portion of Long-Term Debt (Details) - USD ($) $ in Millions</t>
  </si>
  <si>
    <t>Unsecured debt</t>
  </si>
  <si>
    <t>Finance lease obligations</t>
  </si>
  <si>
    <t>Other notes</t>
  </si>
  <si>
    <t>Finance Lease, Liability, Current, Statement of Financial Position [Extensible Enumeration]</t>
  </si>
  <si>
    <t>Debt - Schedule of Debt (Details) - USD ($) $ in Millions</t>
  </si>
  <si>
    <t>Total debt</t>
  </si>
  <si>
    <t>1.17% - 2.50% due through 2026</t>
  </si>
  <si>
    <t>Unsecured debt securities</t>
  </si>
  <si>
    <t>2.60% - 3.20% due through 2030</t>
  </si>
  <si>
    <t>3.25% - 3.90% due through 2059</t>
  </si>
  <si>
    <t>3.95% - 5.15% due through 2059</t>
  </si>
  <si>
    <t>5.71% - 6.63% due through 2060</t>
  </si>
  <si>
    <t>6.88% - 8.75% due through 2043</t>
  </si>
  <si>
    <t>Finance lease obligations due through 2044</t>
  </si>
  <si>
    <t>Minimum | 1.17% - 2.50% due through 2026</t>
  </si>
  <si>
    <t>Debt instrument, interest rate, stated percentage</t>
  </si>
  <si>
    <t>Minimum | 2.60% - 3.20% due through 2030</t>
  </si>
  <si>
    <t>Minimum | 3.25% - 3.90% due through 2059</t>
  </si>
  <si>
    <t>Minimum | 3.95% - 5.15% due through 2059</t>
  </si>
  <si>
    <t>Minimum | 5.71% - 6.63% due through 2060</t>
  </si>
  <si>
    <t>Minimum | 6.88% - 8.75% due through 2043</t>
  </si>
  <si>
    <t>Maximum | 1.17% - 2.50% due through 2026</t>
  </si>
  <si>
    <t>Maximum | 2.60% - 3.20% due through 2030</t>
  </si>
  <si>
    <t>Maximum | 3.25% - 3.90% due through 2059</t>
  </si>
  <si>
    <t>Maximum | 3.95% - 5.15% due through 2059</t>
  </si>
  <si>
    <t>Maximum | 5.71% - 6.63% due through 2060</t>
  </si>
  <si>
    <t>Maximum | 6.88% - 8.75% due through 2043</t>
  </si>
  <si>
    <t>Debt - Scheduled Principal Payments for Debt and Capital Lease Obligations (Details) $ in Millions</t>
  </si>
  <si>
    <t>Debt and other notes</t>
  </si>
  <si>
    <t>Minimum finance lease obligations</t>
  </si>
  <si>
    <t>Postretirement Plans - Components of Net Periodic Benefit Cost (Details) - USD ($) $ in Millions</t>
  </si>
  <si>
    <t>Pension</t>
  </si>
  <si>
    <t>Defined Benefit Plan Disclosure [Line Items]</t>
  </si>
  <si>
    <t>Service cost</t>
  </si>
  <si>
    <t>Interest cost</t>
  </si>
  <si>
    <t>Expected return on plan assets</t>
  </si>
  <si>
    <t>Amortization of prior service credits</t>
  </si>
  <si>
    <t>Recognized net actuarial loss/(gain)</t>
  </si>
  <si>
    <t>Settlement/curtailment (gain)/loss</t>
  </si>
  <si>
    <t>Net periodic benefit (income)/cost</t>
  </si>
  <si>
    <t>Other Postretirement Benefits</t>
  </si>
  <si>
    <t>Operating Income (Loss) | Pension</t>
  </si>
  <si>
    <t>Net periodic benefit (income)/cost included in (loss)/earning from operations, other income, and loss before income taxes</t>
  </si>
  <si>
    <t>Operating Income (Loss) | Other Postretirement Benefits</t>
  </si>
  <si>
    <t>Other Income | Pension</t>
  </si>
  <si>
    <t>Other Income | Other Postretirement Benefits</t>
  </si>
  <si>
    <t>Operating Income (Loss) Before Taxes | Pension</t>
  </si>
  <si>
    <t>Operating Income (Loss) Before Taxes | Other Postretirement Benefits</t>
  </si>
  <si>
    <t>Postretirement Plans - Schedule of Changes in the Benefit Obligation, Plan Assets and Funded Status of Pensions and OPB (Details) - USD ($) $ in Millions</t>
  </si>
  <si>
    <t>1 Months Ended</t>
  </si>
  <si>
    <t>Nov. 30, 2020</t>
  </si>
  <si>
    <t>Defined Benefit Plan, Change in Fair Value of Plan Assets [Roll Forward]</t>
  </si>
  <si>
    <t>Company contribution</t>
  </si>
  <si>
    <t>Defined Benefit Plan, Amounts for Asset (Liability) Recognized in Statement of Financial Position [Abstract]</t>
  </si>
  <si>
    <t>Defined Benefit Plan, Change in Benefit Obligation [Roll Forward]</t>
  </si>
  <si>
    <t>Beginning balance</t>
  </si>
  <si>
    <t>Amendments</t>
  </si>
  <si>
    <t>Actuarial loss/(gain)</t>
  </si>
  <si>
    <t>Gross benefits paid</t>
  </si>
  <si>
    <t>Subsidies</t>
  </si>
  <si>
    <t>Exchange rate adjustment</t>
  </si>
  <si>
    <t>Ending balance</t>
  </si>
  <si>
    <t>Beginning balance at fair value</t>
  </si>
  <si>
    <t>Actual return on plan assets</t>
  </si>
  <si>
    <t>Plan participants' contributions</t>
  </si>
  <si>
    <t>Benefits paid</t>
  </si>
  <si>
    <t>Ending balance at fair value</t>
  </si>
  <si>
    <t>Other assets</t>
  </si>
  <si>
    <t>Net amount recognized</t>
  </si>
  <si>
    <t>Postretirement Plans - Schedule of Amounts Recognized in Accumulated Other Comprehensive Loss (Details) - USD ($) $ in Millions</t>
  </si>
  <si>
    <t>Net actuarial loss/(gain)</t>
  </si>
  <si>
    <t>Prior service credits</t>
  </si>
  <si>
    <t>Total recognized in AOCI</t>
  </si>
  <si>
    <t>Postretirement Plans - Narrative (Details) - USD ($) $ in Millions</t>
  </si>
  <si>
    <t>Amount by which fair value of plan assets exceeds market-related value of plan assets (MRVA)</t>
  </si>
  <si>
    <t>Derivative net notional amount for fixed income as percentage of total plan assets</t>
  </si>
  <si>
    <t>Derivative net notional amount for global equity, currency overlay and commodities as a percentage of total plan assets</t>
  </si>
  <si>
    <t>(5.60%)</t>
  </si>
  <si>
    <t>Defined contribution plan, cost</t>
  </si>
  <si>
    <t>Accumulated benefit obligation (ABO) for all pension plans</t>
  </si>
  <si>
    <t>Defined benefit plan, plan assets, amount</t>
  </si>
  <si>
    <t>Defined benefit plan, actual plan asset allocations</t>
  </si>
  <si>
    <t>Pension | Fixed income</t>
  </si>
  <si>
    <t>Pension | Equity securities:</t>
  </si>
  <si>
    <t>Pension | Level 1</t>
  </si>
  <si>
    <t>Pension | Level 3</t>
  </si>
  <si>
    <t>Pension | Boeing company stock | Equity securities:</t>
  </si>
  <si>
    <t>Pension | Boeing company stock | Equity securities: | Level 1</t>
  </si>
  <si>
    <t>Pension | Corporate | Level 3 | Fixed income</t>
  </si>
  <si>
    <t>Defined benefit plan, plan assets Level 3 reconciliation, increase (decrease) for actual return (loss) on plan assets still held</t>
  </si>
  <si>
    <t>Pension | Mortgage backed and asset backed | Level 3 | Fixed income</t>
  </si>
  <si>
    <t>Pension | Other | Level 3 | Fixed income</t>
  </si>
  <si>
    <t>Pension | Municipal | Level 3 | Fixed income</t>
  </si>
  <si>
    <t>Pension | Real estate and real assets | Level 3 | Fixed income</t>
  </si>
  <si>
    <t>Other Postretirement Benefits | Fixed income</t>
  </si>
  <si>
    <t>Other Postretirement Benefits | Equity securities:</t>
  </si>
  <si>
    <t>Postretirement Plans - Schedule of Key Information for All Plans with ABO in Excess of Plan Assets (Details) - Pension - USD ($) $ in Millions</t>
  </si>
  <si>
    <t>Accumulated benefit obligation</t>
  </si>
  <si>
    <t>Fair value of plan assets</t>
  </si>
  <si>
    <t>Projected benefit obligation</t>
  </si>
  <si>
    <t>Postretirement Plans - Schedule of Assumptions Used to Calculate the Benefit Obligation and Net Periodic Benefit Costs (Details)</t>
  </si>
  <si>
    <t>Rate of compensation increase</t>
  </si>
  <si>
    <t>Interest crediting rates for cash balance plans</t>
  </si>
  <si>
    <t>Discount rate</t>
  </si>
  <si>
    <t>Postretirement Plans - Schedule of Assumed Health Care Cost Trend Rates (Details)</t>
  </si>
  <si>
    <t>Health care cost trend rate assumed next year</t>
  </si>
  <si>
    <t>Ultimate trend rate</t>
  </si>
  <si>
    <t>Postretirement Plans - Schedule of Actual Allocations for Pension Assets and Target Allocations by Asset Class (Details) - Pension</t>
  </si>
  <si>
    <t>Defined benefit plan, target plan asset allocations</t>
  </si>
  <si>
    <t>Fixed income</t>
  </si>
  <si>
    <t>Global equity</t>
  </si>
  <si>
    <t>Private equity</t>
  </si>
  <si>
    <t>Real estate and real assets</t>
  </si>
  <si>
    <t>Hedge funds</t>
  </si>
  <si>
    <t>Postretirement Plans - Schedule of Allocation of Plan Assets (Details) - Pension - USD ($) $ in Millions</t>
  </si>
  <si>
    <t>Estimate of Fair Value Measurement</t>
  </si>
  <si>
    <t>Defined benefit plan, plan assets measured at net asset value</t>
  </si>
  <si>
    <t>Level 1</t>
  </si>
  <si>
    <t>Level 2</t>
  </si>
  <si>
    <t>Level 3</t>
  </si>
  <si>
    <t>Cash equivalents and other short-term investments</t>
  </si>
  <si>
    <t>Cash equivalents and other short-term investments | Level 2</t>
  </si>
  <si>
    <t>Cash</t>
  </si>
  <si>
    <t>Receivables</t>
  </si>
  <si>
    <t>Payables</t>
  </si>
  <si>
    <t>Corporate | Fixed income</t>
  </si>
  <si>
    <t>Corporate | Fixed income | Level 2</t>
  </si>
  <si>
    <t>Corporate | Fixed income | Level 3</t>
  </si>
  <si>
    <t>U.S. government and agencies | Fixed income</t>
  </si>
  <si>
    <t>U.S. government and agencies | Fixed income | Level 2</t>
  </si>
  <si>
    <t>Mortgage backed and asset backed | Fixed income</t>
  </si>
  <si>
    <t>Mortgage backed and asset backed | Fixed income | Level 2</t>
  </si>
  <si>
    <t>Mortgage backed and asset backed | Fixed income | Level 3</t>
  </si>
  <si>
    <t>Municipal | Fixed income</t>
  </si>
  <si>
    <t>Municipal | Fixed income | Level 2</t>
  </si>
  <si>
    <t>Municipal | Fixed income | Level 3</t>
  </si>
  <si>
    <t>Sovereign | Fixed income</t>
  </si>
  <si>
    <t>Sovereign | Fixed income | Level 2</t>
  </si>
  <si>
    <t>Sovereign | Fixed income | Level 3</t>
  </si>
  <si>
    <t>Other | Fixed income</t>
  </si>
  <si>
    <t>Other | Fixed income | Level 1</t>
  </si>
  <si>
    <t>Other | Fixed income | Level 3</t>
  </si>
  <si>
    <t>Assets | Fixed income</t>
  </si>
  <si>
    <t>Assets | Fixed income | Level 2</t>
  </si>
  <si>
    <t>Assets | Real estate and real assets</t>
  </si>
  <si>
    <t>Assets | Real estate and real assets | Level 2</t>
  </si>
  <si>
    <t>Liabilities | Fixed income</t>
  </si>
  <si>
    <t>Liabilities | Fixed income | Level 2</t>
  </si>
  <si>
    <t>Liabilities | Equity securities:</t>
  </si>
  <si>
    <t>Liabilities | Equity securities: | Level 2</t>
  </si>
  <si>
    <t>Liabilities | Real estate and real assets</t>
  </si>
  <si>
    <t>Liabilities | Real estate and real assets | Level 2</t>
  </si>
  <si>
    <t>Liabilities | Real estate and real assets | Level 3</t>
  </si>
  <si>
    <t>U.S. common and preferred stock | Equity securities:</t>
  </si>
  <si>
    <t>U.S. common and preferred stock | Equity securities: | Level 1</t>
  </si>
  <si>
    <t>Non-U.S. common and preferred stock | Equity securities:</t>
  </si>
  <si>
    <t>Non-U.S. common and preferred stock | Equity securities: | Level 1</t>
  </si>
  <si>
    <t>Non-U.S. common and preferred stock | Equity securities: | Level 3</t>
  </si>
  <si>
    <t>Boeing company stock | Equity securities:</t>
  </si>
  <si>
    <t>Boeing company stock | Equity securities: | Level 1</t>
  </si>
  <si>
    <t>Real assets | Real estate and real assets</t>
  </si>
  <si>
    <t>Real assets | Real estate and real assets | Level 1</t>
  </si>
  <si>
    <t>Real assets | Real estate and real assets | Level 2</t>
  </si>
  <si>
    <t>Real assets | Real estate and real assets | Level 3</t>
  </si>
  <si>
    <t>Defined benefit plan, plan assets, prior year amount</t>
  </si>
  <si>
    <t>Common or collective or pooled funds | Fixed income</t>
  </si>
  <si>
    <t>Common or collective or pooled funds | Equity securities:</t>
  </si>
  <si>
    <t>Postretirement Plans - Schedule of Effect of Significant Unobservable Inputs, Changes in Plan Assets (Details) - Pension - USD ($) $ in Millions</t>
  </si>
  <si>
    <t>Defined Benefit Plan, Change in Fair Value of Plan Assets, Level 3 Reconciliation [Roll Forward]</t>
  </si>
  <si>
    <t>Net Realized and Unrealized Gains/(Losses)</t>
  </si>
  <si>
    <t>Net Purchases, Issuances and Settlements</t>
  </si>
  <si>
    <t>Net Transfers Into/(Out of) Level 3</t>
  </si>
  <si>
    <t>U.S. government and agencies | Level 3 | Fixed income</t>
  </si>
  <si>
    <t>Fixed income | Corporate</t>
  </si>
  <si>
    <t>Fixed income | Corporate | Level 3</t>
  </si>
  <si>
    <t>Fixed income | U.S. government and agencies</t>
  </si>
  <si>
    <t>Fixed income | U.S. government and agencies | Level 3</t>
  </si>
  <si>
    <t>Fixed income | Mortgage backed and asset backed</t>
  </si>
  <si>
    <t>Fixed income | Mortgage backed and asset backed | Level 3</t>
  </si>
  <si>
    <t>Fixed income | Municipal</t>
  </si>
  <si>
    <t>Fixed income | Municipal | Level 3</t>
  </si>
  <si>
    <t>Fixed income | Other | Level 3</t>
  </si>
  <si>
    <t>Fixed income | Sovereign</t>
  </si>
  <si>
    <t>Fixed income | Sovereign | Level 3</t>
  </si>
  <si>
    <t>Global equity | Non-U.S. common and preferred stock</t>
  </si>
  <si>
    <t>Global equity | Non-U.S. common and preferred stock | Level 3</t>
  </si>
  <si>
    <t>Real estate and real assets | Real assets | Level 3</t>
  </si>
  <si>
    <t>Postretirement Plans - Schedule of Estimated Future Benefit Payments (Details) $ in Millions</t>
  </si>
  <si>
    <t>Pensions</t>
  </si>
  <si>
    <t>2029-2033</t>
  </si>
  <si>
    <t>Share-Based Compensation and Other Compensation Arrangements - Narrative (Details) $ / shares in Units, $ in Millions</t>
  </si>
  <si>
    <t>Feb. 16, 2023 $ / shares shares</t>
  </si>
  <si>
    <t>Jul. 29, 2022 $ / shares shares</t>
  </si>
  <si>
    <t>Feb. 16, 2022 shares</t>
  </si>
  <si>
    <t>Feb. 17, 2021 shares</t>
  </si>
  <si>
    <t>Feb. 28, 2022 $ / shares shares</t>
  </si>
  <si>
    <t>Feb. 28, 2021 $ / shares shares</t>
  </si>
  <si>
    <t>Feb. 28, 2020 $ / shares shares</t>
  </si>
  <si>
    <t>Dec. 31, 2023 USD ($) fund $ / shares shares</t>
  </si>
  <si>
    <t>Dec. 31, 2022 USD ($) $ / shares</t>
  </si>
  <si>
    <t>Dec. 31, 2021 USD ($) $ / shares shares</t>
  </si>
  <si>
    <t>Share-based Compensation Arrangement by Share-based Payment Award [Line Items]</t>
  </si>
  <si>
    <t>Aggregate number of shares of stock available for issuance (in shares)</t>
  </si>
  <si>
    <t>Granted (in shares)</t>
  </si>
  <si>
    <t>Share-based compensation arrangement by share-based payment award, options, exercises in period, total intrinsic value | $</t>
  </si>
  <si>
    <t>Share-based payment arrangement, exercise of option, tax benefit | $</t>
  </si>
  <si>
    <t>Number of investment funds | fund</t>
  </si>
  <si>
    <t>Deferred compensation | $</t>
  </si>
  <si>
    <t>Deferred compensation liability which is being marked to market | $</t>
  </si>
  <si>
    <t>2022 Stock Options</t>
  </si>
  <si>
    <t>Unrecognized compensation cost | $</t>
  </si>
  <si>
    <t>Share-based payment arrangement, nonvested award, cost not yet recognized, period for recognition</t>
  </si>
  <si>
    <t>1 year 2 months 12 days</t>
  </si>
  <si>
    <t>Executive Long-Term Incentive Program</t>
  </si>
  <si>
    <t>Number of units, granted (in shares)</t>
  </si>
  <si>
    <t>Share-based compensation arrangement by share-based payment award, award vesting period</t>
  </si>
  <si>
    <t>Share-based compensation arrangement by share-based payment award, expiration period</t>
  </si>
  <si>
    <t>Granted date fair value (in dollars per share) | $ / shares</t>
  </si>
  <si>
    <t>Stock options | 2021 Stock Options</t>
  </si>
  <si>
    <t>Share-based compensation arrangement by share-based payment award, purchase price of common stock, percent</t>
  </si>
  <si>
    <t>Stock options | 2022 Stock Options</t>
  </si>
  <si>
    <t>Share-based compensation arrangement by share-based payment award, purchase price of common stock, percent (reduced)</t>
  </si>
  <si>
    <t>Stock options | 2021 Stock Options Premium</t>
  </si>
  <si>
    <t>Stock options | 2021 Stock Options Non-Premium</t>
  </si>
  <si>
    <t>Restricted stock units | Executive Long-Term Incentive Program</t>
  </si>
  <si>
    <t>Performance Restricted Stock Units (PRSU)</t>
  </si>
  <si>
    <t>2 years 1 month 6 days</t>
  </si>
  <si>
    <t>Performance Restricted Stock Units (PRSU) | Minimum</t>
  </si>
  <si>
    <t>Share-based compensation arrangement by share-based payment award, equity instruments other than options, award payout percentage</t>
  </si>
  <si>
    <t>Performance Restricted Stock Units (PRSU) | Maximum</t>
  </si>
  <si>
    <t>Performance Based Restricted Stock Units (PBRSUs)</t>
  </si>
  <si>
    <t>Performance Based Restricted Stock Units (PBRSUs) | 2020 PBRSU</t>
  </si>
  <si>
    <t>Award payout range</t>
  </si>
  <si>
    <t>Performance Based Restricted Stock Units (PBRSUs) | 2020 PBRSU | Minimum</t>
  </si>
  <si>
    <t>Performance Based Restricted Stock Units (PBRSUs) | 2020 PBRSU | Maximum</t>
  </si>
  <si>
    <t>Performance Based Restricted Stock Units (PBRSUs) | 2019 PBRSU | Minimum</t>
  </si>
  <si>
    <t>Performance Based Restricted Stock Units (PBRSUs) | 2019 PBRSU | Maximum</t>
  </si>
  <si>
    <t>Employee Stock</t>
  </si>
  <si>
    <t>Share-based compensation arrangement by share-based payment award, purchase period</t>
  </si>
  <si>
    <t>3 months</t>
  </si>
  <si>
    <t>Share-based compensation arrangement by share-based payment award, shares issued in period (in shares)</t>
  </si>
  <si>
    <t>Employee stock ownership plan (ESOP), weighted average purchase price of shares purchased (in dollars per share) | $ / shares</t>
  </si>
  <si>
    <t>Share-Based Compensation and Other Compensation Arrangements - Schedule of Share-Based Plans Expense and Related Income Tax Benefit (Details) - USD ($) $ in Millions</t>
  </si>
  <si>
    <t>Restricted stock units and other awards</t>
  </si>
  <si>
    <t>Income tax benefit (before consideration of valuation allowance)</t>
  </si>
  <si>
    <t>Share-Based Compensation and Other Compensation Arrangements - Schedule of Share-Based Payment Award, Stock Options, Valuation Assumptions (Details) - Stock options - $ / shares</t>
  </si>
  <si>
    <t>Expected Life</t>
  </si>
  <si>
    <t>6 years 9 months 18 days</t>
  </si>
  <si>
    <t>6 years 7 months 6 days</t>
  </si>
  <si>
    <t>Expected Volatility</t>
  </si>
  <si>
    <t>Risk Free Interest Rate</t>
  </si>
  <si>
    <t>Granted date fair value (in dollars per share)</t>
  </si>
  <si>
    <t>Share-Based Compensation and Other Compensation Arrangements - Schedule of Stock Options Activity (Details) $ / shares in Units, $ in Millions</t>
  </si>
  <si>
    <t>Dec. 31, 2023 USD ($) $ / shares shares</t>
  </si>
  <si>
    <t>Share-based Compensation Arrangement by Share-based Payment Award, Options, Outstanding [Roll Forward]</t>
  </si>
  <si>
    <t>Outstanding at beginning of year (in shares) | shares</t>
  </si>
  <si>
    <t>Granted (in shares) | shares</t>
  </si>
  <si>
    <t>Exercised (in shares) | shares</t>
  </si>
  <si>
    <t>Forfeited (in shares) | shares</t>
  </si>
  <si>
    <t>Outstanding at end of the year (in shares) | shares</t>
  </si>
  <si>
    <t>Share-based Compensation Arrangement by Share-based Payment Award, Options, Outstanding, Weighted Average Exercise Price [Roll Forward]</t>
  </si>
  <si>
    <t>Outstanding at beginning of year, weighted average exercised (in dollars per share) | $ / shares</t>
  </si>
  <si>
    <t>Weighted average exercise price, granted (in dollars per share) | $ / shares</t>
  </si>
  <si>
    <t>Weighted average exercise price, exercised (in dollars per share) | $ / shares</t>
  </si>
  <si>
    <t>Weighted average exercise price, forfeited (in dollars per share) | $ / shares</t>
  </si>
  <si>
    <t>Outstanding at end of year, weighted average exercised (in dollars per share) | $ / shares</t>
  </si>
  <si>
    <t>Share-based Compensation Arrangement by Share-based Payment Award, Options, Additional Disclosures [Abstract]</t>
  </si>
  <si>
    <t>Outstanding at end of year, weighted average remaining contractual life (in years)</t>
  </si>
  <si>
    <t>7 years 8 months 12 days</t>
  </si>
  <si>
    <t>Outstanding at end of year, aggregate intrinsic value | $</t>
  </si>
  <si>
    <t>Exercisable at end of year (in shares) | shares</t>
  </si>
  <si>
    <t>Exercisable at end of year, weighted average exercise price (in dollars per share) | $ / shares</t>
  </si>
  <si>
    <t>Exercisable at end of year, weighted average remaining contractual life (in years)</t>
  </si>
  <si>
    <t>3 years 1 month 6 days</t>
  </si>
  <si>
    <t>Exercisable at end of year, aggregate intrinsic value | $</t>
  </si>
  <si>
    <t>Share-Based Compensation and Other Compensation Arrangements - Schedule of Restricted Stock Units Award Activity (Details) $ in Millions</t>
  </si>
  <si>
    <t>Dec. 31, 2023 USD ($) shares</t>
  </si>
  <si>
    <t>Weighted average remaining amortization period (years)</t>
  </si>
  <si>
    <t>Number of units, outstanding at beginning of year (in shares)</t>
  </si>
  <si>
    <t>Number of units, forfeited (in shares)</t>
  </si>
  <si>
    <t>Number of units, distributed (in shares)</t>
  </si>
  <si>
    <t>Number of units, outstanding at end of year (in shares)</t>
  </si>
  <si>
    <t>Number of units, undistributed and vested (in shares)</t>
  </si>
  <si>
    <t>1 year 6 months</t>
  </si>
  <si>
    <t>Employee Long-Term Incentive Program</t>
  </si>
  <si>
    <t>1 year 7 months 6 days</t>
  </si>
  <si>
    <t>Shareholders' Equity - Narrative (Details) - USD ($) $ in Millions</t>
  </si>
  <si>
    <t>Preferred stock, authorized (in shares)</t>
  </si>
  <si>
    <t>Preferred stock, issued (in shares)</t>
  </si>
  <si>
    <t>Additional paid in capital, period increase (decrease)</t>
  </si>
  <si>
    <t>Shareholders' Equity - Schedule of Common Stock Outstanding Roll Forward (Details) - shares</t>
  </si>
  <si>
    <t>Common stock, beginning balance (in shares)</t>
  </si>
  <si>
    <t>Common stock, ending balance (in shares)</t>
  </si>
  <si>
    <t>Treasury stock, beginning balance (in shares)</t>
  </si>
  <si>
    <t>Treasury stock, issued (in shares)</t>
  </si>
  <si>
    <t>Treasury stock, acquired (in shares)</t>
  </si>
  <si>
    <t>Treasury stock, ending balance (in shares)</t>
  </si>
  <si>
    <t>Shareholders' Equity - Schedule of Accumulated Other Comprehensive Income (Loss) (Details) - USD ($) $ in Millions</t>
  </si>
  <si>
    <t>Accumulated Other Comprehensive Income [Roll Forward]</t>
  </si>
  <si>
    <t>Other comprehensive (loss)/income before reclassifications</t>
  </si>
  <si>
    <t>Amounts reclassified from AOCI</t>
  </si>
  <si>
    <t>Net current period Other comprehensive (loss)/income</t>
  </si>
  <si>
    <t>Other comprehensive income (loss), defined benefit plan, gain (loss) arising during period, after tax</t>
  </si>
  <si>
    <t>Other comprehensive income (loss), defined benefit plan, gain (loss), reclassification adjustment from AOCI, after tax</t>
  </si>
  <si>
    <t>Gain (loss) on discontinuation of cash flow hedge due to forecasted transaction probable of not occurring, net</t>
  </si>
  <si>
    <t>Loss on discontinuation of cash flow hedge due to forecasted transaction Probable of not occurring, tax</t>
  </si>
  <si>
    <t>Currency Translation Adjustments</t>
  </si>
  <si>
    <t>Unrealized Gains and Losses on Certain Investments</t>
  </si>
  <si>
    <t>Unrealized Gains and Losses on Derivative Instruments</t>
  </si>
  <si>
    <t>Defined Benefit Pension Plans &amp; Other Postretirement Benefits</t>
  </si>
  <si>
    <t>Derivative Financial Instruments - Schedule of Derivative Instruments in Statement of Financial Position, Fair Value (Details) - USD ($) $ in Millions</t>
  </si>
  <si>
    <t>Derivative [Line Items]</t>
  </si>
  <si>
    <t>Derivative, notional amount</t>
  </si>
  <si>
    <t>Other assets</t>
  </si>
  <si>
    <t>Netting arrangement, other assets</t>
  </si>
  <si>
    <t>Netting arrangement, accrued liabilities</t>
  </si>
  <si>
    <t>Net recorded balance, other assets</t>
  </si>
  <si>
    <t>Net recorded balance, accrued liabilities</t>
  </si>
  <si>
    <t>Derivative Asset, Statement of Financial Position [Extensible Enumeration]</t>
  </si>
  <si>
    <t>Derivative Liability, Statement of Financial Position [Extensible Enumeration]</t>
  </si>
  <si>
    <t>Foreign exchange contracts | Derivatives designated as hedging instruments:</t>
  </si>
  <si>
    <t>Foreign exchange contracts | Derivatives not receiving hedge accounting treatment:</t>
  </si>
  <si>
    <t>Commodity contracts | Derivatives designated as hedging instruments:</t>
  </si>
  <si>
    <t>Commodity contracts | Derivatives not receiving hedge accounting treatment:</t>
  </si>
  <si>
    <t>Derivative Financial Instruments - Schedule of Derivative Instruments, Gains/(Losses) in Statement of Financial Performance (Details) - USD ($) $ in Millions</t>
  </si>
  <si>
    <t>Foreign exchange contracts</t>
  </si>
  <si>
    <t>Recognized in Other comprehensive income, net of taxes:</t>
  </si>
  <si>
    <t>Commodity contracts</t>
  </si>
  <si>
    <t>Derivative Financial Instruments - Reclassification Out of Accumulated Other Comprehensive Income (Details) - USD ($) $ in Millions</t>
  </si>
  <si>
    <t>Costs and expenses</t>
  </si>
  <si>
    <t>Reclassification Adjustment out of Accumulated Other Comprehensive Income on Derivatives [Line Items]</t>
  </si>
  <si>
    <t>Other comprehensive income (loss), cash flow hedge, gain (loss), reclassification, before tax</t>
  </si>
  <si>
    <t>Revenues</t>
  </si>
  <si>
    <t>Derivative Financial Instruments - Narrative (Details) - USD ($) $ in Millions</t>
  </si>
  <si>
    <t>Loss on discontinuation of cash flow hedge due to forecasted transaction probable of not occurring</t>
  </si>
  <si>
    <t>Cash flow hedge gain to be reclassified within 12 Months</t>
  </si>
  <si>
    <t>Derivative, maturity</t>
  </si>
  <si>
    <t>Derivative, net liability position, aggregate fair value</t>
  </si>
  <si>
    <t>Fair Value Measurements - Fair Value, Assets and Liabilities Measured on Recurring Basis (Details) - USD ($) $ in Millions</t>
  </si>
  <si>
    <t>Fair Value, Assets and Liabilities Measured on Recurring Basis [Line Items]</t>
  </si>
  <si>
    <t>Fair Value, Recurring</t>
  </si>
  <si>
    <t>Money market funds</t>
  </si>
  <si>
    <t>Commercial paper</t>
  </si>
  <si>
    <t>Corporate notes</t>
  </si>
  <si>
    <t>U.S. government agencies</t>
  </si>
  <si>
    <t>Other equity investments</t>
  </si>
  <si>
    <t>Fair Value, Recurring | Level 1</t>
  </si>
  <si>
    <t>Fair Value, Recurring | Level 2</t>
  </si>
  <si>
    <t>Fair Value Measurements - Fair Value, Assets Measured on Nonrecurring Basis Using Unobservable Inputs (Details) - USD ($) $ in Millions</t>
  </si>
  <si>
    <t>Fair Value, Assets and Liabilities Measured on Nonrecurring Basis [Line Items]</t>
  </si>
  <si>
    <t>Nonrecurring fair value losses</t>
  </si>
  <si>
    <t>Fair Value Measurements Nonrecurring</t>
  </si>
  <si>
    <t>Assets, fair value disclosure</t>
  </si>
  <si>
    <t>Investments | Fair Value Measurements Nonrecurring</t>
  </si>
  <si>
    <t>Operating lease equipment | Fair Value Measurements Nonrecurring</t>
  </si>
  <si>
    <t>Property, plant and equipment | Fair Value Measurements Nonrecurring</t>
  </si>
  <si>
    <t>Other Assets | Fair Value Measurements Nonrecurring</t>
  </si>
  <si>
    <t>Fair Value Measurements - Fair Values and Related Carrying Values of Financial Instruments (Details) - USD ($) $ in Millions</t>
  </si>
  <si>
    <t>Fair Value, Balance Sheet Grouping, Financial Statement Captions [Line Items]</t>
  </si>
  <si>
    <t>Notes receivable, net, carrying amount</t>
  </si>
  <si>
    <t>Notes receivable, net, fair value</t>
  </si>
  <si>
    <t>Debt, excluding capital lease obligations, carrying amount</t>
  </si>
  <si>
    <t>Debt, excluding capital lease obligations, fair value</t>
  </si>
  <si>
    <t>Legal Proceedings - Narrative (Details) $ in Millions</t>
  </si>
  <si>
    <t>Dec. 31, 2019 USD ($)</t>
  </si>
  <si>
    <t>Controlling interest ownership percentage after acquisition</t>
  </si>
  <si>
    <t>Payments to acquire interest in joint venture</t>
  </si>
  <si>
    <t>Segment and Revenue Information - Narrative (Details) $ in Millions</t>
  </si>
  <si>
    <t>Percentage of operating assets located outside united states</t>
  </si>
  <si>
    <t>Income (loss) from equity method investments</t>
  </si>
  <si>
    <t>Revenue, remaining performance obligation, amount</t>
  </si>
  <si>
    <t>Within Next Fiscal Year</t>
  </si>
  <si>
    <t>Revenue, remaining performance obligation, percent recognized</t>
  </si>
  <si>
    <t>Within Next 4 Fiscal Years</t>
  </si>
  <si>
    <t>U.S. government contracts | Revenues | U.S. government contracts</t>
  </si>
  <si>
    <t>Concentration risk, percentage</t>
  </si>
  <si>
    <t>Segment and Revenue Information - Schedule of Revenue from External Customers Attributed to Foreign Countries by Geographic Area (Details) - USD ($) $ in Millions</t>
  </si>
  <si>
    <t>Revenues from External Customers and Long-Lived Assets [Line Items]</t>
  </si>
  <si>
    <t>Operating Segments | Commercial Airplanes | B-737-Max | Customer Concessions</t>
  </si>
  <si>
    <t>Revenue from contract with customer, excluding assessed tax</t>
  </si>
  <si>
    <t>Total non-U.S. revenues</t>
  </si>
  <si>
    <t>Total non-U.S. revenues | Operating Segments | Commercial Airplanes</t>
  </si>
  <si>
    <t>Europe</t>
  </si>
  <si>
    <t>Europe | Operating Segments | Commercial Airplanes</t>
  </si>
  <si>
    <t>Asia</t>
  </si>
  <si>
    <t>Asia | Operating Segments | Commercial Airplanes</t>
  </si>
  <si>
    <t>Middle East</t>
  </si>
  <si>
    <t>Middle East | Operating Segments | Commercial Airplanes</t>
  </si>
  <si>
    <t>Canada</t>
  </si>
  <si>
    <t>Oceania</t>
  </si>
  <si>
    <t>Africa</t>
  </si>
  <si>
    <t>Latin America, Caribbean and other</t>
  </si>
  <si>
    <t>United States</t>
  </si>
  <si>
    <t>United States | Operating Segments | Commercial Airplanes</t>
  </si>
  <si>
    <t>Segment and Revenue Information - Schedule of Disaggregation of Revenue (Details) - USD ($) $ in Millions</t>
  </si>
  <si>
    <t>Disaggregation of Revenue [Line Items]</t>
  </si>
  <si>
    <t>Operating Segments | Commercial Airplanes | Total revenues from contracts with customers</t>
  </si>
  <si>
    <t>Operating Segments | Commercial Airplanes | Revenue recognized on fixed-price contracts</t>
  </si>
  <si>
    <t>Revenue from contract with customer, excluding assessed tax, percentage</t>
  </si>
  <si>
    <t>Operating Segments | Commercial Airplanes | Revenue recognized at a point in time</t>
  </si>
  <si>
    <t>Operating Segments | Commercial Airplanes | Asia</t>
  </si>
  <si>
    <t>Operating Segments | Commercial Airplanes | Europe</t>
  </si>
  <si>
    <t>Operating Segments | Commercial Airplanes | Middle East</t>
  </si>
  <si>
    <t>Operating Segments | Commercial Airplanes | Other</t>
  </si>
  <si>
    <t>Operating Segments | Commercial Airplanes | Total non-U.S. revenues</t>
  </si>
  <si>
    <t>Operating Segments | Commercial Airplanes | United States</t>
  </si>
  <si>
    <t>Operating Segments | Defense, Space &amp; Security | Revenue from the U.S. government</t>
  </si>
  <si>
    <t>Operating Segments | Defense, Space &amp; Security | Revenue recognized over time</t>
  </si>
  <si>
    <t>Operating Segments | Defense, Space &amp; Security | Revenue recognized on fixed-price contracts</t>
  </si>
  <si>
    <t>Operating Segments | Defense, Space &amp; Security | Total non-U.S. revenues</t>
  </si>
  <si>
    <t>Operating Segments | Defense, Space &amp; Security | United States</t>
  </si>
  <si>
    <t>Operating Segments | Global Services | Commercial</t>
  </si>
  <si>
    <t>Operating Segments | Global Services | Government</t>
  </si>
  <si>
    <t>Operating Segments | Global Services | Total revenues from contracts with customers</t>
  </si>
  <si>
    <t>Operating Segments | Global Services | Revenue from the U.S. government</t>
  </si>
  <si>
    <t>Operating Segments | Global Services | Revenue recognized at a point in time</t>
  </si>
  <si>
    <t>Operating Segments | Global Services | Revenue recognized on fixed-price contracts</t>
  </si>
  <si>
    <t>Intersegment revenues, eliminated on consolidation | Commercial Airplanes</t>
  </si>
  <si>
    <t>Intersegment revenues, eliminated on consolidation | Global Services</t>
  </si>
  <si>
    <t>Segment and Revenue Information - Schedule of Unallocated Items and Eliminations (Details) - USD ($) $ in Millions</t>
  </si>
  <si>
    <t>Share-based plans</t>
  </si>
  <si>
    <t>Deferred compensation</t>
  </si>
  <si>
    <t>Amortization of previously capitalized interest</t>
  </si>
  <si>
    <t>Eliminations and other unallocated items</t>
  </si>
  <si>
    <t>Segment and Revenue Information - Components of Financial Accounting Standards and Cost Accounting Standards Adjustment (Details) - Other - USD ($) $ in Millions</t>
  </si>
  <si>
    <t>Segment and Revenue Information - Reconciliation of Assets from Segment to Consolidated (Details) - USD ($) $ in Millions</t>
  </si>
  <si>
    <t>Segment and Revenue Information - Schedule of Capital Expenditures by Segment (Details) - USD ($) $ in Millions</t>
  </si>
  <si>
    <t>Capital expenditures</t>
  </si>
  <si>
    <t>Segment and Revenue Information - Schedule of Depreciation and Amortization Expense by Segment (Details) - USD ($) $ in Millions</t>
  </si>
  <si>
    <t>Depreciation and amortization expense, business segment allocation</t>
  </si>
  <si>
    <t>Intersegment revenues, eliminated on consolidation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</si>
</sst>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 &quot;#,##0.0_);_(&quot;$ &quot;\(#,##0.0\)"/>
    <numFmt numFmtId="165" formatCode="_(&quot;$ &quot;#,##0_);_(&quot;$ &quot;\(#,##0\)"/>
    <numFmt numFmtId="166" formatCode="_(&quot;$ &quot;#,##0.00_);_(&quot;$ &quot;\(#,##0.00\)"/>
    <numFmt numFmtId="167" formatCode="#,##0.0_);\(#,##0.0\)"/>
    <numFmt numFmtId="168" formatCode="#,##0%_);\(#,##0%\)"/>
    <numFmt numFmtId="169" formatCode="#,##0.00%_);\(#,##0.00%\)"/>
    <numFmt numFmtId="170" formatCode="_([$$-409]* #,##0.00_);_([$$-409]* \(#,##0.00\);_([$$-409]* &quot;-&quot;??_);_(@_)"/>
    <numFmt numFmtId="171" formatCode="_([$$-409]* #,##0.0_);_([$$-409]* \(#,##0.0\);_([$$-409]* &quot;-&quot;??_);_(@_)"/>
    <numFmt numFmtId="172" formatCode="_([$$-409]* #,##0_);_([$$-409]* \(#,##0\);_([$$-409]* &quot;-&quot;??_);_(@_)"/>
    <numFmt numFmtId="173" formatCode="0.0%"/>
    <numFmt numFmtId="174" formatCode="0.00000000000000000%"/>
    <numFmt numFmtId="175" formatCode="0.00000000000000%"/>
    <numFmt numFmtId="176" formatCode="_([$$-409]* #,##0_);_([$$-409]* \(#,##0\);_([$$-409]* &quot;-&quot;?_);_(@_)"/>
    <numFmt numFmtId="177" formatCode="_([$$-409]* #,##0.00_);_([$$-409]* \(#,##0.00\);_([$$-409]* &quot;-&quot;??????_);_(@_)"/>
  </numFmts>
  <fonts count="8" x14ac:knownFonts="1">
    <font>
      <sz val="11"/>
      <color theme="1"/>
      <name val="Calibri"/>
      <family val="2"/>
      <scheme val="minor"/>
    </font>
    <font>
      <b/>
      <sz val="11"/>
      <name val="Calibri"/>
      <family val="2"/>
    </font>
    <font>
      <sz val="11"/>
      <name val="Calibri"/>
      <family val="2"/>
    </font>
    <font>
      <sz val="11"/>
      <color theme="1"/>
      <name val="Calibri"/>
      <family val="2"/>
      <scheme val="minor"/>
    </font>
    <font>
      <b/>
      <sz val="11"/>
      <name val="Calibri"/>
    </font>
    <font>
      <sz val="11"/>
      <name val="Calibri"/>
    </font>
    <font>
      <b/>
      <u/>
      <sz val="11"/>
      <color rgb="FF000000"/>
      <name val="Calibri"/>
      <family val="2"/>
      <scheme val="minor"/>
    </font>
    <font>
      <b/>
      <u/>
      <sz val="11"/>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4"/>
        <bgColor indexed="64"/>
      </patternFill>
    </fill>
    <fill>
      <patternFill patternType="solid">
        <fgColor theme="6"/>
        <bgColor indexed="64"/>
      </patternFill>
    </fill>
    <fill>
      <patternFill patternType="solid">
        <fgColor theme="5"/>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64">
    <xf numFmtId="0" fontId="0" fillId="0" borderId="0" xfId="0"/>
    <xf numFmtId="0" fontId="1" fillId="0" borderId="0" xfId="0" applyFont="1" applyAlignment="1">
      <alignment vertical="top" wrapText="1"/>
    </xf>
    <xf numFmtId="0" fontId="2" fillId="0" borderId="0" xfId="0" applyFont="1" applyAlignment="1">
      <alignment vertical="top" wrapText="1"/>
    </xf>
    <xf numFmtId="164" fontId="2" fillId="0" borderId="0" xfId="0" applyNumberFormat="1" applyFont="1" applyAlignment="1">
      <alignment horizontal="right" vertical="top"/>
    </xf>
    <xf numFmtId="37" fontId="2" fillId="0" borderId="0" xfId="0" applyNumberFormat="1" applyFont="1" applyAlignment="1">
      <alignment horizontal="right" vertical="top"/>
    </xf>
    <xf numFmtId="165" fontId="2" fillId="0" borderId="0" xfId="0" applyNumberFormat="1" applyFont="1" applyAlignment="1">
      <alignment horizontal="right" vertical="top"/>
    </xf>
    <xf numFmtId="166" fontId="2" fillId="0" borderId="0" xfId="0" applyNumberFormat="1" applyFont="1" applyAlignment="1">
      <alignment horizontal="right" vertical="top"/>
    </xf>
    <xf numFmtId="167" fontId="2" fillId="0" borderId="0" xfId="0" applyNumberFormat="1" applyFont="1" applyAlignment="1">
      <alignment horizontal="right" vertical="top"/>
    </xf>
    <xf numFmtId="168" fontId="2" fillId="0" borderId="0" xfId="0" applyNumberFormat="1" applyFont="1" applyAlignment="1">
      <alignment horizontal="right" vertical="top"/>
    </xf>
    <xf numFmtId="169" fontId="2" fillId="0" borderId="0" xfId="0" applyNumberFormat="1" applyFont="1" applyAlignment="1">
      <alignment horizontal="right" vertical="top"/>
    </xf>
    <xf numFmtId="39" fontId="2" fillId="0" borderId="0" xfId="0" applyNumberFormat="1" applyFont="1" applyAlignment="1">
      <alignment horizontal="righ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37" fontId="2" fillId="2" borderId="0" xfId="0" applyNumberFormat="1" applyFont="1" applyFill="1" applyAlignment="1">
      <alignment horizontal="right" vertical="top"/>
    </xf>
    <xf numFmtId="0" fontId="2" fillId="2" borderId="0" xfId="0" applyFont="1" applyFill="1" applyAlignment="1">
      <alignment vertical="top" wrapText="1"/>
    </xf>
    <xf numFmtId="37" fontId="0" fillId="0" borderId="0" xfId="0" applyNumberFormat="1"/>
    <xf numFmtId="0" fontId="2" fillId="3" borderId="0" xfId="0" applyFont="1"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165" fontId="5" fillId="0" borderId="0" xfId="0" applyNumberFormat="1" applyFont="1" applyAlignment="1">
      <alignment horizontal="right" vertical="top"/>
    </xf>
    <xf numFmtId="37" fontId="5" fillId="0" borderId="0" xfId="0" applyNumberFormat="1" applyFont="1" applyAlignment="1">
      <alignment horizontal="right" vertical="top"/>
    </xf>
    <xf numFmtId="170" fontId="0" fillId="0" borderId="0" xfId="0" applyNumberFormat="1"/>
    <xf numFmtId="171" fontId="0" fillId="0" borderId="0" xfId="0" applyNumberFormat="1"/>
    <xf numFmtId="172" fontId="0" fillId="0" borderId="0" xfId="0" applyNumberFormat="1"/>
    <xf numFmtId="10" fontId="0" fillId="0" borderId="0" xfId="0" applyNumberFormat="1"/>
    <xf numFmtId="173" fontId="0" fillId="0" borderId="0" xfId="0" applyNumberFormat="1"/>
    <xf numFmtId="2" fontId="0" fillId="0" borderId="0" xfId="0" applyNumberFormat="1"/>
    <xf numFmtId="0" fontId="0" fillId="2" borderId="0" xfId="0" applyFill="1"/>
    <xf numFmtId="2" fontId="0" fillId="2" borderId="0" xfId="0" applyNumberFormat="1" applyFill="1"/>
    <xf numFmtId="10" fontId="0" fillId="2" borderId="0" xfId="0" applyNumberFormat="1" applyFill="1"/>
    <xf numFmtId="37" fontId="5" fillId="2" borderId="0" xfId="0" applyNumberFormat="1" applyFont="1" applyFill="1" applyAlignment="1">
      <alignment horizontal="right" vertical="top"/>
    </xf>
    <xf numFmtId="166" fontId="5" fillId="0" borderId="0" xfId="0" applyNumberFormat="1" applyFont="1" applyAlignment="1">
      <alignment horizontal="right" vertical="top"/>
    </xf>
    <xf numFmtId="0" fontId="4"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xf>
    <xf numFmtId="0" fontId="5" fillId="3" borderId="0" xfId="0" applyFont="1" applyFill="1" applyAlignment="1">
      <alignment vertical="top" wrapText="1"/>
    </xf>
    <xf numFmtId="165" fontId="0" fillId="0" borderId="0" xfId="0" applyNumberFormat="1"/>
    <xf numFmtId="0" fontId="5" fillId="2" borderId="0" xfId="0" applyFont="1" applyFill="1" applyAlignment="1">
      <alignment vertical="top" wrapText="1"/>
    </xf>
    <xf numFmtId="0" fontId="0" fillId="4" borderId="0" xfId="0" applyFill="1"/>
    <xf numFmtId="2" fontId="0" fillId="4" borderId="0" xfId="0" applyNumberFormat="1" applyFill="1"/>
    <xf numFmtId="0" fontId="6" fillId="5" borderId="0" xfId="0" applyFont="1" applyFill="1"/>
    <xf numFmtId="0" fontId="7" fillId="5" borderId="0" xfId="0" applyFont="1" applyFill="1"/>
    <xf numFmtId="174" fontId="0" fillId="0" borderId="0" xfId="0" applyNumberFormat="1"/>
    <xf numFmtId="175" fontId="0" fillId="0" borderId="0" xfId="0" applyNumberFormat="1"/>
    <xf numFmtId="10" fontId="0" fillId="0" borderId="0" xfId="1" applyNumberFormat="1" applyFont="1"/>
    <xf numFmtId="0" fontId="0" fillId="5" borderId="0" xfId="0" applyFill="1"/>
    <xf numFmtId="14" fontId="0" fillId="4" borderId="0" xfId="0" applyNumberFormat="1" applyFill="1"/>
    <xf numFmtId="0" fontId="0" fillId="6" borderId="0" xfId="0" applyFill="1"/>
    <xf numFmtId="10" fontId="0" fillId="6" borderId="0" xfId="1" applyNumberFormat="1" applyFont="1" applyFill="1"/>
    <xf numFmtId="0" fontId="0" fillId="7" borderId="0" xfId="0" applyFill="1"/>
    <xf numFmtId="10" fontId="0" fillId="7" borderId="0" xfId="1" applyNumberFormat="1" applyFont="1" applyFill="1"/>
    <xf numFmtId="2" fontId="0" fillId="7" borderId="0" xfId="0" applyNumberFormat="1" applyFill="1"/>
    <xf numFmtId="0" fontId="0" fillId="8" borderId="0" xfId="0" applyFill="1"/>
    <xf numFmtId="10" fontId="0" fillId="8" borderId="0" xfId="1" applyNumberFormat="1" applyFont="1" applyFill="1"/>
    <xf numFmtId="2" fontId="0" fillId="8" borderId="0" xfId="0" applyNumberFormat="1" applyFill="1"/>
    <xf numFmtId="37" fontId="0" fillId="8" borderId="0" xfId="0" applyNumberFormat="1" applyFill="1"/>
    <xf numFmtId="176" fontId="0" fillId="0" borderId="0" xfId="0" applyNumberFormat="1"/>
    <xf numFmtId="177" fontId="0" fillId="0" borderId="0" xfId="0" applyNumberFormat="1"/>
    <xf numFmtId="39" fontId="0" fillId="0" borderId="0" xfId="0" applyNumberFormat="1"/>
    <xf numFmtId="0" fontId="1" fillId="0" borderId="0" xfId="0" applyFont="1" applyAlignment="1">
      <alignment horizontal="center" vertical="center" wrapText="1"/>
    </xf>
    <xf numFmtId="0" fontId="0" fillId="0" borderId="0" xfId="0"/>
    <xf numFmtId="0" fontId="2"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workbookViewId="0">
      <selection sqref="A1:A2"/>
    </sheetView>
  </sheetViews>
  <sheetFormatPr baseColWidth="10" defaultColWidth="8.83203125" defaultRowHeight="15" x14ac:dyDescent="0.2"/>
  <cols>
    <col min="1" max="1" width="53" customWidth="1"/>
    <col min="2" max="2" width="80" customWidth="1"/>
    <col min="3" max="3" width="14" customWidth="1"/>
  </cols>
  <sheetData>
    <row r="1" spans="1:3" ht="16" x14ac:dyDescent="0.2">
      <c r="A1" s="59" t="s">
        <v>0</v>
      </c>
      <c r="B1" s="12" t="s">
        <v>1</v>
      </c>
    </row>
    <row r="2" spans="1:3" ht="16" x14ac:dyDescent="0.2">
      <c r="A2" s="60"/>
      <c r="B2" s="12" t="s">
        <v>2</v>
      </c>
      <c r="C2" s="12" t="s">
        <v>3</v>
      </c>
    </row>
    <row r="3" spans="1:3" ht="16" x14ac:dyDescent="0.2">
      <c r="A3" s="1" t="s">
        <v>4</v>
      </c>
      <c r="B3" s="2" t="s">
        <v>5</v>
      </c>
      <c r="C3" s="2" t="s">
        <v>5</v>
      </c>
    </row>
    <row r="4" spans="1:3" ht="16" x14ac:dyDescent="0.2">
      <c r="A4" s="2" t="s">
        <v>6</v>
      </c>
      <c r="B4" s="2" t="s">
        <v>7</v>
      </c>
      <c r="C4" s="2" t="s">
        <v>5</v>
      </c>
    </row>
    <row r="5" spans="1:3" ht="16" x14ac:dyDescent="0.2">
      <c r="A5" s="2" t="s">
        <v>8</v>
      </c>
      <c r="B5" s="2" t="s">
        <v>9</v>
      </c>
      <c r="C5" s="2" t="s">
        <v>5</v>
      </c>
    </row>
    <row r="6" spans="1:3" ht="16" x14ac:dyDescent="0.2">
      <c r="A6" s="2" t="s">
        <v>10</v>
      </c>
      <c r="B6" s="2" t="s">
        <v>11</v>
      </c>
      <c r="C6" s="2" t="s">
        <v>5</v>
      </c>
    </row>
    <row r="7" spans="1:3" ht="16" x14ac:dyDescent="0.2">
      <c r="A7" s="2" t="s">
        <v>12</v>
      </c>
      <c r="B7" s="2" t="s">
        <v>13</v>
      </c>
      <c r="C7" s="2" t="s">
        <v>5</v>
      </c>
    </row>
    <row r="8" spans="1:3" ht="16" x14ac:dyDescent="0.2">
      <c r="A8" s="2" t="s">
        <v>14</v>
      </c>
      <c r="B8" s="2" t="s">
        <v>15</v>
      </c>
      <c r="C8" s="2" t="s">
        <v>5</v>
      </c>
    </row>
    <row r="9" spans="1:3" ht="16" x14ac:dyDescent="0.2">
      <c r="A9" s="2" t="s">
        <v>16</v>
      </c>
      <c r="B9" s="2" t="s">
        <v>17</v>
      </c>
      <c r="C9" s="2" t="s">
        <v>5</v>
      </c>
    </row>
    <row r="10" spans="1:3" ht="16" x14ac:dyDescent="0.2">
      <c r="A10" s="2" t="s">
        <v>18</v>
      </c>
      <c r="B10" s="2" t="s">
        <v>19</v>
      </c>
      <c r="C10" s="2" t="s">
        <v>5</v>
      </c>
    </row>
    <row r="11" spans="1:3" ht="16" x14ac:dyDescent="0.2">
      <c r="A11" s="2" t="s">
        <v>20</v>
      </c>
      <c r="B11" s="2" t="s">
        <v>21</v>
      </c>
      <c r="C11" s="2" t="s">
        <v>5</v>
      </c>
    </row>
    <row r="12" spans="1:3" ht="16" x14ac:dyDescent="0.2">
      <c r="A12" s="2" t="s">
        <v>22</v>
      </c>
      <c r="B12" s="2" t="s">
        <v>23</v>
      </c>
      <c r="C12" s="2" t="s">
        <v>5</v>
      </c>
    </row>
    <row r="13" spans="1:3" ht="16" x14ac:dyDescent="0.2">
      <c r="A13" s="2" t="s">
        <v>24</v>
      </c>
      <c r="B13" s="2" t="s">
        <v>25</v>
      </c>
      <c r="C13" s="2" t="s">
        <v>5</v>
      </c>
    </row>
    <row r="14" spans="1:3" ht="16" x14ac:dyDescent="0.2">
      <c r="A14" s="2" t="s">
        <v>26</v>
      </c>
      <c r="B14" s="2" t="s">
        <v>27</v>
      </c>
      <c r="C14" s="2" t="s">
        <v>5</v>
      </c>
    </row>
    <row r="15" spans="1:3" ht="16" x14ac:dyDescent="0.2">
      <c r="A15" s="2" t="s">
        <v>28</v>
      </c>
      <c r="B15" s="2" t="s">
        <v>29</v>
      </c>
      <c r="C15" s="2" t="s">
        <v>5</v>
      </c>
    </row>
    <row r="16" spans="1:3" ht="16" x14ac:dyDescent="0.2">
      <c r="A16" s="2" t="s">
        <v>30</v>
      </c>
      <c r="B16" s="2" t="s">
        <v>31</v>
      </c>
      <c r="C16" s="2" t="s">
        <v>5</v>
      </c>
    </row>
    <row r="17" spans="1:3" ht="16" x14ac:dyDescent="0.2">
      <c r="A17" s="2" t="s">
        <v>32</v>
      </c>
      <c r="B17" s="2" t="s">
        <v>33</v>
      </c>
      <c r="C17" s="2" t="s">
        <v>5</v>
      </c>
    </row>
    <row r="18" spans="1:3" ht="16" x14ac:dyDescent="0.2">
      <c r="A18" s="2" t="s">
        <v>34</v>
      </c>
      <c r="B18" s="2" t="s">
        <v>35</v>
      </c>
      <c r="C18" s="2" t="s">
        <v>5</v>
      </c>
    </row>
    <row r="19" spans="1:3" ht="16" x14ac:dyDescent="0.2">
      <c r="A19" s="2" t="s">
        <v>36</v>
      </c>
      <c r="B19" s="2" t="s">
        <v>37</v>
      </c>
      <c r="C19" s="2" t="s">
        <v>5</v>
      </c>
    </row>
    <row r="20" spans="1:3" ht="16" x14ac:dyDescent="0.2">
      <c r="A20" s="2" t="s">
        <v>38</v>
      </c>
      <c r="B20" s="2" t="s">
        <v>39</v>
      </c>
      <c r="C20" s="2" t="s">
        <v>5</v>
      </c>
    </row>
    <row r="21" spans="1:3" ht="16" x14ac:dyDescent="0.2">
      <c r="A21" s="2" t="s">
        <v>40</v>
      </c>
      <c r="B21" s="2" t="s">
        <v>39</v>
      </c>
      <c r="C21" s="2" t="s">
        <v>5</v>
      </c>
    </row>
    <row r="22" spans="1:3" ht="16" x14ac:dyDescent="0.2">
      <c r="A22" s="2" t="s">
        <v>41</v>
      </c>
      <c r="B22" s="2" t="s">
        <v>42</v>
      </c>
      <c r="C22" s="2" t="s">
        <v>5</v>
      </c>
    </row>
    <row r="23" spans="1:3" ht="16" x14ac:dyDescent="0.2">
      <c r="A23" s="2" t="s">
        <v>43</v>
      </c>
      <c r="B23" s="2" t="s">
        <v>42</v>
      </c>
      <c r="C23" s="2" t="s">
        <v>5</v>
      </c>
    </row>
    <row r="24" spans="1:3" ht="16" x14ac:dyDescent="0.2">
      <c r="A24" s="2" t="s">
        <v>44</v>
      </c>
      <c r="B24" s="2" t="s">
        <v>45</v>
      </c>
      <c r="C24" s="2" t="s">
        <v>5</v>
      </c>
    </row>
    <row r="25" spans="1:3" ht="16" x14ac:dyDescent="0.2">
      <c r="A25" s="2" t="s">
        <v>46</v>
      </c>
      <c r="B25" s="2" t="s">
        <v>13</v>
      </c>
      <c r="C25" s="2" t="s">
        <v>5</v>
      </c>
    </row>
    <row r="26" spans="1:3" ht="16" x14ac:dyDescent="0.2">
      <c r="A26" s="2" t="s">
        <v>47</v>
      </c>
      <c r="B26" s="2" t="s">
        <v>13</v>
      </c>
      <c r="C26" s="2" t="s">
        <v>5</v>
      </c>
    </row>
    <row r="27" spans="1:3" ht="16" x14ac:dyDescent="0.2">
      <c r="A27" s="2" t="s">
        <v>48</v>
      </c>
      <c r="B27" s="2" t="s">
        <v>9</v>
      </c>
      <c r="C27" s="2" t="s">
        <v>5</v>
      </c>
    </row>
    <row r="28" spans="1:3" ht="16" x14ac:dyDescent="0.2">
      <c r="A28" s="2" t="s">
        <v>49</v>
      </c>
      <c r="B28" s="2" t="s">
        <v>13</v>
      </c>
      <c r="C28" s="2" t="s">
        <v>5</v>
      </c>
    </row>
    <row r="29" spans="1:3" ht="16" x14ac:dyDescent="0.2">
      <c r="A29" s="2" t="s">
        <v>50</v>
      </c>
      <c r="B29" s="2" t="s">
        <v>13</v>
      </c>
      <c r="C29" s="2" t="s">
        <v>5</v>
      </c>
    </row>
    <row r="30" spans="1:3" ht="16" x14ac:dyDescent="0.2">
      <c r="A30" s="2" t="s">
        <v>51</v>
      </c>
      <c r="B30" s="3">
        <v>127.3</v>
      </c>
      <c r="C30" s="2" t="s">
        <v>5</v>
      </c>
    </row>
    <row r="31" spans="1:3" ht="16" x14ac:dyDescent="0.2">
      <c r="A31" s="2" t="s">
        <v>52</v>
      </c>
      <c r="B31" s="2" t="s">
        <v>5</v>
      </c>
      <c r="C31" s="4">
        <v>610135205</v>
      </c>
    </row>
    <row r="32" spans="1:3" ht="48" x14ac:dyDescent="0.2">
      <c r="A32" s="2" t="s">
        <v>53</v>
      </c>
      <c r="B32" s="2" t="s">
        <v>54</v>
      </c>
      <c r="C32" s="2" t="s">
        <v>5</v>
      </c>
    </row>
    <row r="33" spans="1:3" ht="16" x14ac:dyDescent="0.2">
      <c r="A33" s="2" t="s">
        <v>55</v>
      </c>
      <c r="B33" s="2" t="s">
        <v>13</v>
      </c>
      <c r="C33" s="2" t="s">
        <v>5</v>
      </c>
    </row>
    <row r="34" spans="1:3" ht="16" x14ac:dyDescent="0.2">
      <c r="A34" s="2" t="s">
        <v>56</v>
      </c>
      <c r="B34" s="2" t="s">
        <v>57</v>
      </c>
      <c r="C34" s="2" t="s">
        <v>5</v>
      </c>
    </row>
    <row r="35" spans="1:3" ht="16" x14ac:dyDescent="0.2">
      <c r="A35" s="2" t="s">
        <v>58</v>
      </c>
      <c r="B35" s="2" t="s">
        <v>59</v>
      </c>
      <c r="C35" s="2" t="s">
        <v>5</v>
      </c>
    </row>
    <row r="36" spans="1:3" ht="16" x14ac:dyDescent="0.2">
      <c r="A36" s="2" t="s">
        <v>60</v>
      </c>
      <c r="B36" s="2" t="s">
        <v>61</v>
      </c>
      <c r="C36" s="2" t="s">
        <v>5</v>
      </c>
    </row>
    <row r="37" spans="1:3" ht="16" x14ac:dyDescent="0.2">
      <c r="A37" s="2" t="s">
        <v>62</v>
      </c>
      <c r="B37" s="2" t="s">
        <v>63</v>
      </c>
      <c r="C37" s="2" t="s">
        <v>5</v>
      </c>
    </row>
    <row r="38" spans="1:3" ht="16" x14ac:dyDescent="0.2">
      <c r="A38" s="2" t="s">
        <v>64</v>
      </c>
      <c r="B38" s="2" t="s">
        <v>65</v>
      </c>
      <c r="C38" s="2" t="s">
        <v>5</v>
      </c>
    </row>
  </sheetData>
  <mergeCells count="1">
    <mergeCell ref="A1:A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sqref="A1:A2"/>
    </sheetView>
  </sheetViews>
  <sheetFormatPr baseColWidth="10" defaultColWidth="8.83203125" defaultRowHeight="15" x14ac:dyDescent="0.2"/>
  <cols>
    <col min="1" max="1" width="31" customWidth="1"/>
    <col min="2" max="2" width="22" customWidth="1"/>
  </cols>
  <sheetData>
    <row r="1" spans="1:2" ht="16" x14ac:dyDescent="0.2">
      <c r="A1" s="59" t="s">
        <v>66</v>
      </c>
      <c r="B1" s="12" t="s">
        <v>1</v>
      </c>
    </row>
    <row r="2" spans="1:2" ht="16" x14ac:dyDescent="0.2">
      <c r="A2" s="60"/>
      <c r="B2" s="12" t="s">
        <v>2</v>
      </c>
    </row>
    <row r="3" spans="1:2" ht="16" x14ac:dyDescent="0.2">
      <c r="A3" s="1" t="s">
        <v>67</v>
      </c>
      <c r="B3" s="2" t="s">
        <v>5</v>
      </c>
    </row>
    <row r="4" spans="1:2" ht="16" x14ac:dyDescent="0.2">
      <c r="A4" s="2" t="s">
        <v>68</v>
      </c>
      <c r="B4" s="2" t="s">
        <v>69</v>
      </c>
    </row>
    <row r="5" spans="1:2" ht="16" x14ac:dyDescent="0.2">
      <c r="A5" s="2" t="s">
        <v>70</v>
      </c>
      <c r="B5" s="2" t="s">
        <v>71</v>
      </c>
    </row>
    <row r="6" spans="1:2" ht="16" x14ac:dyDescent="0.2">
      <c r="A6" s="2" t="s">
        <v>72</v>
      </c>
      <c r="B6" s="2" t="s">
        <v>73</v>
      </c>
    </row>
  </sheetData>
  <mergeCells count="1">
    <mergeCell ref="A1:A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topLeftCell="C2" workbookViewId="0">
      <selection activeCell="J11" sqref="J11"/>
    </sheetView>
  </sheetViews>
  <sheetFormatPr baseColWidth="10" defaultColWidth="8.83203125" defaultRowHeight="15" x14ac:dyDescent="0.2"/>
  <cols>
    <col min="1" max="1" width="62" customWidth="1"/>
    <col min="2" max="2" width="16" customWidth="1"/>
    <col min="3" max="4" width="14" customWidth="1"/>
  </cols>
  <sheetData>
    <row r="1" spans="1:10" x14ac:dyDescent="0.2">
      <c r="A1" s="59" t="s">
        <v>74</v>
      </c>
      <c r="B1" s="61" t="s">
        <v>1</v>
      </c>
      <c r="C1" s="60"/>
      <c r="D1" s="60"/>
    </row>
    <row r="2" spans="1:10" ht="16" x14ac:dyDescent="0.2">
      <c r="A2" s="60"/>
      <c r="B2" s="12" t="s">
        <v>2</v>
      </c>
      <c r="C2" s="12" t="s">
        <v>75</v>
      </c>
      <c r="D2" s="12" t="s">
        <v>76</v>
      </c>
    </row>
    <row r="3" spans="1:10" ht="16" x14ac:dyDescent="0.2">
      <c r="A3" s="2" t="s">
        <v>77</v>
      </c>
      <c r="B3" s="5">
        <v>77794</v>
      </c>
      <c r="C3" s="5">
        <v>66608</v>
      </c>
      <c r="D3" s="5">
        <v>62286</v>
      </c>
    </row>
    <row r="4" spans="1:10" ht="16" x14ac:dyDescent="0.2">
      <c r="A4" s="2" t="s">
        <v>78</v>
      </c>
      <c r="B4" s="4">
        <v>-70070</v>
      </c>
      <c r="C4" s="4">
        <v>-63078</v>
      </c>
      <c r="D4" s="4">
        <v>-59237</v>
      </c>
    </row>
    <row r="5" spans="1:10" ht="16" x14ac:dyDescent="0.2">
      <c r="A5" s="2" t="s">
        <v>79</v>
      </c>
      <c r="B5" s="4">
        <v>7724</v>
      </c>
      <c r="C5" s="4">
        <v>3530</v>
      </c>
      <c r="D5" s="4">
        <v>3049</v>
      </c>
    </row>
    <row r="6" spans="1:10" ht="16" x14ac:dyDescent="0.2">
      <c r="A6" s="2" t="s">
        <v>80</v>
      </c>
      <c r="B6" s="4">
        <v>46</v>
      </c>
      <c r="C6" s="4">
        <v>-16</v>
      </c>
      <c r="D6" s="4">
        <v>210</v>
      </c>
    </row>
    <row r="7" spans="1:10" ht="16" x14ac:dyDescent="0.2">
      <c r="A7" s="2" t="s">
        <v>81</v>
      </c>
      <c r="B7" s="4">
        <v>-5168</v>
      </c>
      <c r="C7" s="4">
        <v>-4187</v>
      </c>
      <c r="D7" s="4">
        <v>-4157</v>
      </c>
    </row>
    <row r="8" spans="1:10" ht="16" x14ac:dyDescent="0.2">
      <c r="A8" s="2" t="s">
        <v>82</v>
      </c>
      <c r="B8" s="4">
        <v>-3377</v>
      </c>
      <c r="C8" s="4">
        <v>-2852</v>
      </c>
      <c r="D8" s="4">
        <v>-2249</v>
      </c>
    </row>
    <row r="9" spans="1:10" ht="16" x14ac:dyDescent="0.2">
      <c r="A9" s="2" t="s">
        <v>83</v>
      </c>
      <c r="B9" s="4">
        <v>2</v>
      </c>
      <c r="C9" s="4">
        <v>6</v>
      </c>
      <c r="D9" s="4">
        <v>277</v>
      </c>
    </row>
    <row r="10" spans="1:10" ht="16" x14ac:dyDescent="0.2">
      <c r="A10" s="2" t="s">
        <v>84</v>
      </c>
      <c r="B10" s="13">
        <v>-773</v>
      </c>
      <c r="C10" s="4">
        <v>-3519</v>
      </c>
      <c r="D10" s="4">
        <v>-2870</v>
      </c>
    </row>
    <row r="11" spans="1:10" ht="16" x14ac:dyDescent="0.2">
      <c r="A11" s="2" t="s">
        <v>85</v>
      </c>
      <c r="B11" s="4">
        <v>1227</v>
      </c>
      <c r="C11" s="4">
        <v>1058</v>
      </c>
      <c r="D11" s="4">
        <v>551</v>
      </c>
      <c r="F11" s="15">
        <f>B11+B12</f>
        <v>-1232</v>
      </c>
      <c r="H11" t="s">
        <v>86</v>
      </c>
      <c r="J11" s="15">
        <f>B10-I13</f>
        <v>-1145.52</v>
      </c>
    </row>
    <row r="12" spans="1:10" ht="16" x14ac:dyDescent="0.2">
      <c r="A12" s="2" t="s">
        <v>87</v>
      </c>
      <c r="B12" s="13">
        <v>-2459</v>
      </c>
      <c r="C12" s="4">
        <v>-2561</v>
      </c>
      <c r="D12" s="4">
        <v>-2714</v>
      </c>
      <c r="G12">
        <f>F11*(0.11)</f>
        <v>-135.52000000000001</v>
      </c>
      <c r="H12">
        <f>ABS(G12)</f>
        <v>135.52000000000001</v>
      </c>
    </row>
    <row r="13" spans="1:10" ht="16" x14ac:dyDescent="0.2">
      <c r="A13" s="2" t="s">
        <v>88</v>
      </c>
      <c r="B13" s="4">
        <v>-2005</v>
      </c>
      <c r="C13" s="4">
        <v>-5022</v>
      </c>
      <c r="D13" s="4">
        <v>-5033</v>
      </c>
      <c r="H13">
        <f>237</f>
        <v>237</v>
      </c>
      <c r="I13">
        <f>H13+H12</f>
        <v>372.52</v>
      </c>
    </row>
    <row r="14" spans="1:10" ht="16" x14ac:dyDescent="0.2">
      <c r="A14" s="2" t="s">
        <v>89</v>
      </c>
      <c r="B14" s="13">
        <v>-237</v>
      </c>
      <c r="C14" s="4">
        <v>-31</v>
      </c>
      <c r="D14" s="4">
        <v>743</v>
      </c>
    </row>
    <row r="15" spans="1:10" ht="16" x14ac:dyDescent="0.2">
      <c r="A15" s="2" t="s">
        <v>90</v>
      </c>
      <c r="B15" s="4">
        <v>-2242</v>
      </c>
      <c r="C15" s="4">
        <v>-5053</v>
      </c>
      <c r="D15" s="4">
        <v>-4290</v>
      </c>
    </row>
    <row r="16" spans="1:10" ht="16" x14ac:dyDescent="0.2">
      <c r="A16" s="2" t="s">
        <v>91</v>
      </c>
      <c r="B16" s="4">
        <v>-20</v>
      </c>
      <c r="C16" s="4">
        <v>-118</v>
      </c>
      <c r="D16" s="4">
        <v>-88</v>
      </c>
    </row>
    <row r="17" spans="1:4" ht="16" x14ac:dyDescent="0.2">
      <c r="A17" s="2" t="s">
        <v>92</v>
      </c>
      <c r="B17" s="5">
        <v>-2222</v>
      </c>
      <c r="C17" s="5">
        <v>-4935</v>
      </c>
      <c r="D17" s="5">
        <v>-4202</v>
      </c>
    </row>
    <row r="18" spans="1:4" ht="16" x14ac:dyDescent="0.2">
      <c r="A18" s="2" t="s">
        <v>93</v>
      </c>
      <c r="B18" s="6">
        <v>-3.67</v>
      </c>
      <c r="C18" s="6">
        <v>-8.3000000000000007</v>
      </c>
      <c r="D18" s="6">
        <v>-7.15</v>
      </c>
    </row>
    <row r="19" spans="1:4" ht="16" x14ac:dyDescent="0.2">
      <c r="A19" s="2" t="s">
        <v>94</v>
      </c>
      <c r="B19" s="6">
        <v>-3.67</v>
      </c>
      <c r="C19" s="6">
        <v>-8.3000000000000007</v>
      </c>
      <c r="D19" s="6">
        <v>-7.15</v>
      </c>
    </row>
    <row r="20" spans="1:4" ht="16" x14ac:dyDescent="0.2">
      <c r="A20" s="2" t="s">
        <v>95</v>
      </c>
      <c r="B20" s="2" t="s">
        <v>5</v>
      </c>
      <c r="C20" s="2" t="s">
        <v>5</v>
      </c>
      <c r="D20" s="2" t="s">
        <v>5</v>
      </c>
    </row>
    <row r="21" spans="1:4" ht="16" x14ac:dyDescent="0.2">
      <c r="A21" s="2" t="s">
        <v>77</v>
      </c>
      <c r="B21" s="5">
        <v>65581</v>
      </c>
      <c r="C21" s="5">
        <v>55893</v>
      </c>
      <c r="D21" s="5">
        <v>51386</v>
      </c>
    </row>
    <row r="22" spans="1:4" ht="16" x14ac:dyDescent="0.2">
      <c r="A22" s="2" t="s">
        <v>96</v>
      </c>
      <c r="B22" s="4">
        <v>-59864</v>
      </c>
      <c r="C22" s="4">
        <v>-53969</v>
      </c>
      <c r="D22" s="4">
        <v>-49954</v>
      </c>
    </row>
    <row r="23" spans="1:4" ht="16" x14ac:dyDescent="0.2">
      <c r="A23" s="2" t="s">
        <v>97</v>
      </c>
      <c r="B23" s="2"/>
      <c r="C23" s="2" t="s">
        <v>5</v>
      </c>
      <c r="D23" s="2" t="s">
        <v>5</v>
      </c>
    </row>
    <row r="24" spans="1:4" ht="16" x14ac:dyDescent="0.2">
      <c r="A24" s="2" t="s">
        <v>77</v>
      </c>
      <c r="B24" s="4">
        <v>12213</v>
      </c>
      <c r="C24" s="4">
        <v>10715</v>
      </c>
      <c r="D24" s="4">
        <v>10900</v>
      </c>
    </row>
    <row r="25" spans="1:4" ht="16" x14ac:dyDescent="0.2">
      <c r="A25" s="2" t="s">
        <v>96</v>
      </c>
      <c r="B25" s="5">
        <v>-10206</v>
      </c>
      <c r="C25" s="5">
        <v>-9109</v>
      </c>
      <c r="D25" s="5">
        <v>-9283</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2F51B-C4C6-4E06-AE3B-DE53D7A968D9}">
  <dimension ref="A1:U26"/>
  <sheetViews>
    <sheetView workbookViewId="0">
      <selection activeCell="C18" sqref="C18"/>
    </sheetView>
  </sheetViews>
  <sheetFormatPr baseColWidth="10" defaultColWidth="8.83203125" defaultRowHeight="15" x14ac:dyDescent="0.2"/>
  <cols>
    <col min="1" max="1" width="41" customWidth="1"/>
    <col min="3" max="3" width="11.83203125" bestFit="1" customWidth="1"/>
    <col min="14" max="14" width="25.6640625" customWidth="1"/>
    <col min="17" max="17" width="47.1640625" customWidth="1"/>
    <col min="18" max="18" width="27.6640625" customWidth="1"/>
    <col min="21" max="21" width="39.5" customWidth="1"/>
  </cols>
  <sheetData>
    <row r="1" spans="1:21" ht="11.25" customHeight="1" x14ac:dyDescent="0.2"/>
    <row r="2" spans="1:21" ht="21" customHeight="1" x14ac:dyDescent="0.2">
      <c r="A2" s="62" t="s">
        <v>74</v>
      </c>
      <c r="C2" t="s">
        <v>98</v>
      </c>
      <c r="E2" s="33" t="s">
        <v>1</v>
      </c>
    </row>
    <row r="3" spans="1:21" ht="32" x14ac:dyDescent="0.2">
      <c r="A3" s="60"/>
      <c r="C3" s="34" t="s">
        <v>99</v>
      </c>
      <c r="E3" s="33" t="s">
        <v>2</v>
      </c>
      <c r="F3" s="33" t="s">
        <v>75</v>
      </c>
      <c r="G3" s="33" t="s">
        <v>76</v>
      </c>
      <c r="I3" t="s">
        <v>100</v>
      </c>
      <c r="K3" t="s">
        <v>101</v>
      </c>
      <c r="N3" t="s">
        <v>102</v>
      </c>
      <c r="Q3" t="s">
        <v>103</v>
      </c>
      <c r="R3" t="s">
        <v>104</v>
      </c>
      <c r="U3" t="s">
        <v>105</v>
      </c>
    </row>
    <row r="4" spans="1:21" ht="18" customHeight="1" x14ac:dyDescent="0.2">
      <c r="A4" s="18" t="s">
        <v>77</v>
      </c>
      <c r="C4" s="23">
        <f>E4*I4 +E4</f>
        <v>79349.88</v>
      </c>
      <c r="E4" s="19">
        <v>77794</v>
      </c>
      <c r="F4" s="19">
        <v>66608</v>
      </c>
      <c r="G4" s="19">
        <v>62286</v>
      </c>
      <c r="I4" s="24">
        <v>0.02</v>
      </c>
      <c r="J4" s="24"/>
      <c r="K4" s="24">
        <v>9.6000000000000002E-2</v>
      </c>
      <c r="L4" s="24"/>
      <c r="N4" s="24">
        <f>-E5/E4</f>
        <v>0.90071213718281617</v>
      </c>
      <c r="Q4" s="24">
        <f>E8/E4</f>
        <v>-6.6431858498084681E-2</v>
      </c>
      <c r="R4" s="24">
        <f>E9/E4</f>
        <v>-4.3409517443504637E-2</v>
      </c>
      <c r="U4" s="24">
        <f>E11/E4</f>
        <v>-9.9364989587885956E-3</v>
      </c>
    </row>
    <row r="5" spans="1:21" ht="21" customHeight="1" x14ac:dyDescent="0.2">
      <c r="A5" s="18" t="s">
        <v>78</v>
      </c>
      <c r="C5" s="21">
        <f>C4*-N4</f>
        <v>-71471.400000000009</v>
      </c>
      <c r="E5" s="20">
        <v>-70070</v>
      </c>
      <c r="F5" s="20">
        <v>-63078</v>
      </c>
      <c r="G5" s="20">
        <v>-59237</v>
      </c>
    </row>
    <row r="6" spans="1:21" ht="16.5" customHeight="1" x14ac:dyDescent="0.2">
      <c r="A6" s="18" t="s">
        <v>79</v>
      </c>
      <c r="C6" s="21">
        <f>C4+C5</f>
        <v>7878.4799999999959</v>
      </c>
      <c r="E6" s="20">
        <v>7724</v>
      </c>
      <c r="F6" s="20">
        <v>3530</v>
      </c>
      <c r="G6" s="20">
        <v>3049</v>
      </c>
    </row>
    <row r="7" spans="1:21" ht="24" customHeight="1" x14ac:dyDescent="0.2">
      <c r="A7" s="18" t="s">
        <v>80</v>
      </c>
      <c r="C7">
        <v>46</v>
      </c>
      <c r="E7" s="20">
        <v>46</v>
      </c>
      <c r="F7" s="20">
        <v>-16</v>
      </c>
      <c r="G7" s="20">
        <v>210</v>
      </c>
    </row>
    <row r="8" spans="1:21" ht="17.25" customHeight="1" x14ac:dyDescent="0.2">
      <c r="A8" s="18" t="s">
        <v>81</v>
      </c>
      <c r="C8" s="21">
        <f>C4*Q4</f>
        <v>-5271.36</v>
      </c>
      <c r="E8" s="20">
        <v>-5168</v>
      </c>
      <c r="F8" s="20">
        <v>-4187</v>
      </c>
      <c r="G8" s="20">
        <v>-4157</v>
      </c>
    </row>
    <row r="9" spans="1:21" ht="24" customHeight="1" x14ac:dyDescent="0.2">
      <c r="A9" s="18" t="s">
        <v>82</v>
      </c>
      <c r="C9" s="21">
        <f>C4*R4</f>
        <v>-3444.54</v>
      </c>
      <c r="E9" s="20">
        <v>-3377</v>
      </c>
      <c r="F9" s="20">
        <v>-2852</v>
      </c>
      <c r="G9" s="20">
        <v>-2249</v>
      </c>
    </row>
    <row r="10" spans="1:21" ht="24" customHeight="1" x14ac:dyDescent="0.2">
      <c r="A10" s="18" t="s">
        <v>83</v>
      </c>
      <c r="C10">
        <v>2</v>
      </c>
      <c r="E10" s="20">
        <v>2</v>
      </c>
      <c r="F10" s="20">
        <v>6</v>
      </c>
      <c r="G10" s="20">
        <v>277</v>
      </c>
    </row>
    <row r="11" spans="1:21" ht="24" customHeight="1" x14ac:dyDescent="0.2">
      <c r="A11" s="18" t="s">
        <v>84</v>
      </c>
      <c r="C11" s="21">
        <f>C4*U4</f>
        <v>-788.46</v>
      </c>
      <c r="E11" s="30">
        <v>-773</v>
      </c>
      <c r="F11" s="20">
        <v>-3519</v>
      </c>
      <c r="G11" s="20">
        <v>-2870</v>
      </c>
    </row>
    <row r="12" spans="1:21" ht="19.5" customHeight="1" x14ac:dyDescent="0.2">
      <c r="A12" s="18" t="s">
        <v>85</v>
      </c>
      <c r="C12">
        <f>E12*I4+E12</f>
        <v>1251.54</v>
      </c>
      <c r="E12" s="20">
        <v>1227</v>
      </c>
      <c r="F12" s="20">
        <v>1058</v>
      </c>
      <c r="G12" s="20">
        <v>551</v>
      </c>
    </row>
    <row r="13" spans="1:21" ht="18" customHeight="1" x14ac:dyDescent="0.2">
      <c r="A13" s="18" t="s">
        <v>87</v>
      </c>
      <c r="C13" s="15">
        <f>E13</f>
        <v>-2459</v>
      </c>
      <c r="E13" s="30">
        <v>-2459</v>
      </c>
      <c r="F13" s="20">
        <v>-2561</v>
      </c>
      <c r="G13" s="20">
        <v>-2714</v>
      </c>
    </row>
    <row r="14" spans="1:21" ht="21.75" customHeight="1" x14ac:dyDescent="0.2">
      <c r="A14" s="18" t="s">
        <v>88</v>
      </c>
      <c r="C14" s="23">
        <f>SUM(C11:C13)</f>
        <v>-1995.92</v>
      </c>
      <c r="E14" s="20">
        <v>-2005</v>
      </c>
      <c r="F14" s="20">
        <v>-5022</v>
      </c>
      <c r="G14" s="20">
        <v>-5033</v>
      </c>
    </row>
    <row r="15" spans="1:21" ht="23.25" customHeight="1" x14ac:dyDescent="0.2">
      <c r="A15" s="18" t="s">
        <v>89</v>
      </c>
      <c r="C15" s="56">
        <f>C14*13%</f>
        <v>-259.46960000000001</v>
      </c>
      <c r="E15" s="30">
        <v>-237</v>
      </c>
      <c r="F15" s="20">
        <v>-31</v>
      </c>
      <c r="G15" s="20">
        <v>743</v>
      </c>
    </row>
    <row r="16" spans="1:21" ht="16" x14ac:dyDescent="0.2">
      <c r="A16" s="18" t="s">
        <v>90</v>
      </c>
      <c r="C16" s="23">
        <f>SUM(C14:C15)</f>
        <v>-2255.3896</v>
      </c>
      <c r="E16" s="20">
        <v>-2242</v>
      </c>
      <c r="F16" s="20">
        <v>-5053</v>
      </c>
      <c r="G16" s="20">
        <v>-4290</v>
      </c>
    </row>
    <row r="17" spans="1:7" ht="33.75" customHeight="1" x14ac:dyDescent="0.2">
      <c r="A17" s="18" t="s">
        <v>91</v>
      </c>
      <c r="C17" s="20">
        <v>-20</v>
      </c>
      <c r="E17" s="20">
        <v>-20</v>
      </c>
      <c r="F17" s="20">
        <v>-118</v>
      </c>
      <c r="G17" s="20">
        <v>-88</v>
      </c>
    </row>
    <row r="18" spans="1:7" ht="23.25" customHeight="1" x14ac:dyDescent="0.2">
      <c r="A18" s="18" t="s">
        <v>92</v>
      </c>
      <c r="C18" s="23">
        <f>C16-C17</f>
        <v>-2235.3896</v>
      </c>
      <c r="E18" s="19">
        <v>-2222</v>
      </c>
      <c r="F18" s="19">
        <v>-4935</v>
      </c>
      <c r="G18" s="19">
        <v>-4202</v>
      </c>
    </row>
    <row r="19" spans="1:7" ht="22.5" customHeight="1" x14ac:dyDescent="0.2">
      <c r="A19" s="18" t="s">
        <v>93</v>
      </c>
      <c r="C19" s="57">
        <f>C16/610.135205</f>
        <v>-3.69654067085016</v>
      </c>
      <c r="E19" s="31">
        <v>-3.67</v>
      </c>
      <c r="F19" s="31">
        <v>-8.3000000000000007</v>
      </c>
      <c r="G19" s="31">
        <v>-7.15</v>
      </c>
    </row>
    <row r="20" spans="1:7" ht="21" customHeight="1" x14ac:dyDescent="0.2">
      <c r="A20" s="18" t="s">
        <v>94</v>
      </c>
      <c r="C20" s="57">
        <f>C16/610.135205</f>
        <v>-3.69654067085016</v>
      </c>
      <c r="E20" s="31">
        <v>-3.67</v>
      </c>
      <c r="F20" s="31">
        <v>-8.3000000000000007</v>
      </c>
      <c r="G20" s="31">
        <v>-7.15</v>
      </c>
    </row>
    <row r="21" spans="1:7" ht="18.75" customHeight="1" x14ac:dyDescent="0.2">
      <c r="A21" s="18" t="s">
        <v>95</v>
      </c>
      <c r="E21" s="18" t="s">
        <v>5</v>
      </c>
      <c r="F21" s="18" t="s">
        <v>5</v>
      </c>
      <c r="G21" s="18" t="s">
        <v>5</v>
      </c>
    </row>
    <row r="22" spans="1:7" ht="20.25" customHeight="1" x14ac:dyDescent="0.2">
      <c r="A22" s="18" t="s">
        <v>77</v>
      </c>
      <c r="C22" s="23">
        <f>E22*(1+I4)</f>
        <v>66892.62</v>
      </c>
      <c r="E22" s="19">
        <v>65581</v>
      </c>
      <c r="F22" s="19">
        <v>55893</v>
      </c>
      <c r="G22" s="19">
        <v>51386</v>
      </c>
    </row>
    <row r="23" spans="1:7" ht="19.5" customHeight="1" x14ac:dyDescent="0.2">
      <c r="A23" s="18" t="s">
        <v>96</v>
      </c>
      <c r="C23" s="56">
        <f>C22*(E23/E22)</f>
        <v>-61061.279999999992</v>
      </c>
      <c r="E23" s="20">
        <v>-59864</v>
      </c>
      <c r="F23" s="20">
        <v>-53969</v>
      </c>
      <c r="G23" s="20">
        <v>-49954</v>
      </c>
    </row>
    <row r="24" spans="1:7" ht="22.5" customHeight="1" x14ac:dyDescent="0.2">
      <c r="A24" s="18" t="s">
        <v>97</v>
      </c>
      <c r="E24" s="18"/>
      <c r="F24" s="18" t="s">
        <v>5</v>
      </c>
      <c r="G24" s="18" t="s">
        <v>5</v>
      </c>
    </row>
    <row r="25" spans="1:7" ht="20.25" customHeight="1" x14ac:dyDescent="0.2">
      <c r="A25" s="18" t="s">
        <v>77</v>
      </c>
      <c r="C25" s="22">
        <f>E25*(1+I4)</f>
        <v>12457.26</v>
      </c>
      <c r="E25" s="20">
        <v>12213</v>
      </c>
      <c r="F25" s="20">
        <v>10715</v>
      </c>
      <c r="G25" s="20">
        <v>10900</v>
      </c>
    </row>
    <row r="26" spans="1:7" ht="17.25" customHeight="1" x14ac:dyDescent="0.2">
      <c r="A26" s="18" t="s">
        <v>96</v>
      </c>
      <c r="C26" s="56">
        <f>C25*(E26/E25)</f>
        <v>-10410.119999999999</v>
      </c>
      <c r="E26" s="19">
        <v>-10206</v>
      </c>
      <c r="F26" s="19">
        <v>-9109</v>
      </c>
      <c r="G26" s="19">
        <v>-9283</v>
      </c>
    </row>
  </sheetData>
  <mergeCells count="1">
    <mergeCell ref="A2: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topLeftCell="A11" workbookViewId="0">
      <selection activeCell="A17" sqref="A17"/>
    </sheetView>
  </sheetViews>
  <sheetFormatPr baseColWidth="10" defaultColWidth="8.83203125" defaultRowHeight="15" x14ac:dyDescent="0.2"/>
  <cols>
    <col min="1" max="1" width="80" customWidth="1"/>
    <col min="2" max="2" width="16" customWidth="1"/>
    <col min="3" max="4" width="14" customWidth="1"/>
  </cols>
  <sheetData>
    <row r="1" spans="1:4" x14ac:dyDescent="0.2">
      <c r="A1" s="59" t="s">
        <v>106</v>
      </c>
      <c r="B1" s="61" t="s">
        <v>1</v>
      </c>
      <c r="C1" s="60"/>
      <c r="D1" s="60"/>
    </row>
    <row r="2" spans="1:4" ht="16" x14ac:dyDescent="0.2">
      <c r="A2" s="60"/>
      <c r="B2" s="12" t="s">
        <v>2</v>
      </c>
      <c r="C2" s="12" t="s">
        <v>75</v>
      </c>
      <c r="D2" s="12" t="s">
        <v>76</v>
      </c>
    </row>
    <row r="3" spans="1:4" ht="16" x14ac:dyDescent="0.2">
      <c r="A3" s="1" t="s">
        <v>107</v>
      </c>
      <c r="B3" s="2" t="s">
        <v>5</v>
      </c>
      <c r="C3" s="2" t="s">
        <v>5</v>
      </c>
      <c r="D3" s="2" t="s">
        <v>5</v>
      </c>
    </row>
    <row r="4" spans="1:4" ht="16" x14ac:dyDescent="0.2">
      <c r="A4" s="2" t="s">
        <v>90</v>
      </c>
      <c r="B4" s="5">
        <v>-2242</v>
      </c>
      <c r="C4" s="5">
        <v>-5053</v>
      </c>
      <c r="D4" s="5">
        <v>-4290</v>
      </c>
    </row>
    <row r="5" spans="1:4" ht="16" x14ac:dyDescent="0.2">
      <c r="A5" s="1" t="s">
        <v>108</v>
      </c>
      <c r="B5" s="2" t="s">
        <v>5</v>
      </c>
      <c r="C5" s="2" t="s">
        <v>5</v>
      </c>
      <c r="D5" s="2" t="s">
        <v>5</v>
      </c>
    </row>
    <row r="6" spans="1:4" ht="16" x14ac:dyDescent="0.2">
      <c r="A6" s="2" t="s">
        <v>109</v>
      </c>
      <c r="B6" s="4">
        <v>33</v>
      </c>
      <c r="C6" s="4">
        <v>-62</v>
      </c>
      <c r="D6" s="4">
        <v>-75</v>
      </c>
    </row>
    <row r="7" spans="1:4" ht="16" x14ac:dyDescent="0.2">
      <c r="A7" s="2" t="s">
        <v>110</v>
      </c>
      <c r="B7" s="4">
        <v>2</v>
      </c>
      <c r="C7" s="4">
        <v>-1</v>
      </c>
      <c r="D7" s="2" t="s">
        <v>111</v>
      </c>
    </row>
    <row r="8" spans="1:4" ht="16" x14ac:dyDescent="0.2">
      <c r="A8" s="1" t="s">
        <v>112</v>
      </c>
      <c r="B8" s="2" t="s">
        <v>5</v>
      </c>
      <c r="C8" s="2" t="s">
        <v>5</v>
      </c>
      <c r="D8" s="2" t="s">
        <v>5</v>
      </c>
    </row>
    <row r="9" spans="1:4" ht="16" x14ac:dyDescent="0.2">
      <c r="A9" s="2" t="s">
        <v>113</v>
      </c>
      <c r="B9" s="4">
        <v>41</v>
      </c>
      <c r="C9" s="4">
        <v>-40</v>
      </c>
      <c r="D9" s="4">
        <v>55</v>
      </c>
    </row>
    <row r="10" spans="1:4" ht="16" x14ac:dyDescent="0.2">
      <c r="A10" s="2" t="s">
        <v>114</v>
      </c>
      <c r="B10" s="4">
        <v>-5</v>
      </c>
      <c r="C10" s="4">
        <v>10</v>
      </c>
      <c r="D10" s="4">
        <v>-6</v>
      </c>
    </row>
    <row r="11" spans="1:4" ht="16" x14ac:dyDescent="0.2">
      <c r="A11" s="2" t="s">
        <v>115</v>
      </c>
      <c r="B11" s="4">
        <v>36</v>
      </c>
      <c r="C11" s="4">
        <v>-30</v>
      </c>
      <c r="D11" s="4">
        <v>49</v>
      </c>
    </row>
    <row r="12" spans="1:4" ht="16" x14ac:dyDescent="0.2">
      <c r="A12" s="1" t="s">
        <v>116</v>
      </c>
      <c r="B12" s="2" t="s">
        <v>5</v>
      </c>
      <c r="C12" s="2" t="s">
        <v>5</v>
      </c>
      <c r="D12" s="2" t="s">
        <v>5</v>
      </c>
    </row>
    <row r="13" spans="1:4" ht="16" x14ac:dyDescent="0.2">
      <c r="A13" s="2" t="s">
        <v>117</v>
      </c>
      <c r="B13" s="4">
        <v>-722</v>
      </c>
      <c r="C13" s="4">
        <v>1533</v>
      </c>
      <c r="D13" s="4">
        <v>4262</v>
      </c>
    </row>
    <row r="14" spans="1:4" ht="32" x14ac:dyDescent="0.2">
      <c r="A14" s="16" t="s">
        <v>118</v>
      </c>
      <c r="B14" s="4">
        <v>-2</v>
      </c>
      <c r="C14" s="4">
        <v>791</v>
      </c>
      <c r="D14" s="4">
        <v>1155</v>
      </c>
    </row>
    <row r="15" spans="1:4" ht="16" x14ac:dyDescent="0.2">
      <c r="A15" s="16" t="s">
        <v>119</v>
      </c>
      <c r="B15" s="2" t="s">
        <v>111</v>
      </c>
      <c r="C15" s="4">
        <v>-4</v>
      </c>
      <c r="D15" s="4">
        <v>191</v>
      </c>
    </row>
    <row r="16" spans="1:4" ht="16" x14ac:dyDescent="0.2">
      <c r="A16" s="16" t="s">
        <v>120</v>
      </c>
      <c r="B16" s="4">
        <v>-102</v>
      </c>
      <c r="C16" s="4">
        <v>-114</v>
      </c>
      <c r="D16" s="4">
        <v>-114</v>
      </c>
    </row>
    <row r="17" spans="1:4" ht="16" x14ac:dyDescent="0.2">
      <c r="A17" s="2" t="s">
        <v>121</v>
      </c>
      <c r="B17" s="2" t="s">
        <v>111</v>
      </c>
      <c r="C17" s="4">
        <v>-1</v>
      </c>
      <c r="D17" s="2" t="s">
        <v>111</v>
      </c>
    </row>
    <row r="18" spans="1:4" ht="32" x14ac:dyDescent="0.2">
      <c r="A18" s="2" t="s">
        <v>122</v>
      </c>
      <c r="B18" s="2" t="s">
        <v>111</v>
      </c>
      <c r="C18" s="4">
        <v>-3</v>
      </c>
      <c r="D18" s="4">
        <v>6</v>
      </c>
    </row>
    <row r="19" spans="1:4" ht="16" x14ac:dyDescent="0.2">
      <c r="A19" s="2" t="s">
        <v>123</v>
      </c>
      <c r="B19" s="4">
        <v>-826</v>
      </c>
      <c r="C19" s="4">
        <v>2202</v>
      </c>
      <c r="D19" s="4">
        <v>5500</v>
      </c>
    </row>
    <row r="20" spans="1:4" ht="16" x14ac:dyDescent="0.2">
      <c r="A20" s="2" t="s">
        <v>124</v>
      </c>
      <c r="B20" s="4">
        <v>-755</v>
      </c>
      <c r="C20" s="4">
        <v>2109</v>
      </c>
      <c r="D20" s="4">
        <v>5474</v>
      </c>
    </row>
    <row r="21" spans="1:4" ht="16" x14ac:dyDescent="0.2">
      <c r="A21" s="2" t="s">
        <v>125</v>
      </c>
      <c r="B21" s="4">
        <v>-2997</v>
      </c>
      <c r="C21" s="4">
        <v>-2944</v>
      </c>
      <c r="D21" s="4">
        <v>1184</v>
      </c>
    </row>
    <row r="22" spans="1:4" ht="16" x14ac:dyDescent="0.2">
      <c r="A22" s="2" t="s">
        <v>126</v>
      </c>
      <c r="B22" s="4">
        <v>-20</v>
      </c>
      <c r="C22" s="4">
        <v>-118</v>
      </c>
      <c r="D22" s="4">
        <v>-88</v>
      </c>
    </row>
    <row r="23" spans="1:4" ht="16" x14ac:dyDescent="0.2">
      <c r="A23" s="2" t="s">
        <v>127</v>
      </c>
      <c r="B23" s="5">
        <v>-2977</v>
      </c>
      <c r="C23" s="5">
        <v>-2826</v>
      </c>
      <c r="D23" s="5">
        <v>1272</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selection activeCell="G8" sqref="G8"/>
    </sheetView>
  </sheetViews>
  <sheetFormatPr baseColWidth="10" defaultColWidth="8.83203125" defaultRowHeight="15" x14ac:dyDescent="0.2"/>
  <cols>
    <col min="1" max="1" width="80" customWidth="1"/>
    <col min="2" max="2" width="16" customWidth="1"/>
    <col min="3" max="4" width="14" customWidth="1"/>
  </cols>
  <sheetData>
    <row r="1" spans="1:4" x14ac:dyDescent="0.2">
      <c r="A1" s="59" t="s">
        <v>128</v>
      </c>
      <c r="B1" s="61" t="s">
        <v>1</v>
      </c>
      <c r="C1" s="60"/>
      <c r="D1" s="60"/>
    </row>
    <row r="2" spans="1:4" ht="16" x14ac:dyDescent="0.2">
      <c r="A2" s="60"/>
      <c r="B2" s="12" t="s">
        <v>2</v>
      </c>
      <c r="C2" s="12" t="s">
        <v>75</v>
      </c>
      <c r="D2" s="12" t="s">
        <v>76</v>
      </c>
    </row>
    <row r="3" spans="1:4" ht="16" x14ac:dyDescent="0.2">
      <c r="A3" s="1" t="s">
        <v>107</v>
      </c>
      <c r="B3" s="2" t="s">
        <v>5</v>
      </c>
      <c r="C3" s="2" t="s">
        <v>5</v>
      </c>
      <c r="D3" s="2" t="s">
        <v>5</v>
      </c>
    </row>
    <row r="4" spans="1:4" ht="16" x14ac:dyDescent="0.2">
      <c r="A4" s="2" t="s">
        <v>129</v>
      </c>
      <c r="B4" s="5">
        <v>0</v>
      </c>
      <c r="C4" s="5">
        <v>0</v>
      </c>
      <c r="D4" s="5">
        <v>0</v>
      </c>
    </row>
    <row r="5" spans="1:4" ht="16" x14ac:dyDescent="0.2">
      <c r="A5" s="2" t="s">
        <v>130</v>
      </c>
      <c r="B5" s="4">
        <v>-11</v>
      </c>
      <c r="C5" s="4">
        <v>12</v>
      </c>
      <c r="D5" s="4">
        <v>-16</v>
      </c>
    </row>
    <row r="6" spans="1:4" ht="16" x14ac:dyDescent="0.2">
      <c r="A6" s="2" t="s">
        <v>131</v>
      </c>
      <c r="B6" s="4">
        <v>1</v>
      </c>
      <c r="C6" s="4">
        <v>-3</v>
      </c>
      <c r="D6" s="4">
        <v>2</v>
      </c>
    </row>
    <row r="7" spans="1:4" ht="16" x14ac:dyDescent="0.2">
      <c r="A7" s="2" t="s">
        <v>132</v>
      </c>
      <c r="B7" s="4">
        <v>13</v>
      </c>
      <c r="C7" s="4">
        <v>-22</v>
      </c>
      <c r="D7" s="4">
        <v>-32</v>
      </c>
    </row>
    <row r="8" spans="1:4" ht="16" x14ac:dyDescent="0.2">
      <c r="A8" s="16" t="s">
        <v>133</v>
      </c>
      <c r="B8" s="4">
        <v>0</v>
      </c>
      <c r="C8" s="4">
        <v>-11</v>
      </c>
      <c r="D8" s="4">
        <v>-8</v>
      </c>
    </row>
    <row r="9" spans="1:4" ht="16" x14ac:dyDescent="0.2">
      <c r="A9" s="16" t="s">
        <v>134</v>
      </c>
      <c r="B9" s="4">
        <v>0</v>
      </c>
      <c r="C9" s="4">
        <v>0</v>
      </c>
      <c r="D9" s="4">
        <v>-2</v>
      </c>
    </row>
    <row r="10" spans="1:4" ht="16" x14ac:dyDescent="0.2">
      <c r="A10" s="16" t="s">
        <v>135</v>
      </c>
      <c r="B10" s="4">
        <v>1</v>
      </c>
      <c r="C10" s="4">
        <v>2</v>
      </c>
      <c r="D10" s="4">
        <v>1</v>
      </c>
    </row>
    <row r="11" spans="1:4" ht="16" x14ac:dyDescent="0.2">
      <c r="A11" s="2" t="s">
        <v>136</v>
      </c>
      <c r="B11" s="4">
        <v>0</v>
      </c>
      <c r="C11" s="4">
        <v>0</v>
      </c>
      <c r="D11" s="4">
        <v>0</v>
      </c>
    </row>
    <row r="12" spans="1:4" ht="16" x14ac:dyDescent="0.2">
      <c r="A12" s="2" t="s">
        <v>137</v>
      </c>
      <c r="B12" s="5">
        <v>0</v>
      </c>
      <c r="C12" s="5">
        <v>0</v>
      </c>
      <c r="D12" s="5">
        <v>-2</v>
      </c>
    </row>
  </sheetData>
  <mergeCells count="2">
    <mergeCell ref="A1:A2"/>
    <mergeCell ref="B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29FC3-0250-40F8-A5B1-13A86716D959}">
  <dimension ref="A1:K146"/>
  <sheetViews>
    <sheetView workbookViewId="0">
      <selection activeCell="A20" sqref="A20"/>
    </sheetView>
  </sheetViews>
  <sheetFormatPr baseColWidth="10" defaultColWidth="8.83203125" defaultRowHeight="15" x14ac:dyDescent="0.2"/>
  <cols>
    <col min="1" max="1" width="80" customWidth="1"/>
    <col min="2" max="3" width="14" customWidth="1"/>
    <col min="5" max="5" width="15.5" customWidth="1"/>
    <col min="7" max="7" width="41.6640625" customWidth="1"/>
    <col min="8" max="8" width="54" customWidth="1"/>
    <col min="9" max="9" width="15.1640625" customWidth="1"/>
    <col min="10" max="10" width="16.1640625" customWidth="1"/>
  </cols>
  <sheetData>
    <row r="1" spans="1:11" ht="16" x14ac:dyDescent="0.2">
      <c r="A1" s="32" t="s">
        <v>138</v>
      </c>
      <c r="B1" s="33" t="s">
        <v>2</v>
      </c>
      <c r="C1" s="33" t="s">
        <v>75</v>
      </c>
    </row>
    <row r="2" spans="1:11" ht="16" x14ac:dyDescent="0.2">
      <c r="A2" s="17" t="s">
        <v>139</v>
      </c>
      <c r="B2" s="18" t="s">
        <v>5</v>
      </c>
      <c r="C2" s="18" t="s">
        <v>5</v>
      </c>
    </row>
    <row r="3" spans="1:11" ht="16" x14ac:dyDescent="0.2">
      <c r="A3" s="18" t="s">
        <v>140</v>
      </c>
      <c r="B3" s="19">
        <v>12691</v>
      </c>
      <c r="C3" s="19">
        <v>14614</v>
      </c>
      <c r="G3" s="45" t="s">
        <v>141</v>
      </c>
    </row>
    <row r="4" spans="1:11" ht="16" x14ac:dyDescent="0.2">
      <c r="A4" s="18" t="s">
        <v>142</v>
      </c>
      <c r="B4" s="20">
        <v>3274</v>
      </c>
      <c r="C4" s="20">
        <v>2606</v>
      </c>
      <c r="G4" s="40" t="s">
        <v>143</v>
      </c>
      <c r="H4" s="40" t="s">
        <v>144</v>
      </c>
      <c r="I4" s="41" t="s">
        <v>145</v>
      </c>
      <c r="J4" s="41" t="s">
        <v>146</v>
      </c>
      <c r="K4" s="41" t="s">
        <v>147</v>
      </c>
    </row>
    <row r="5" spans="1:11" ht="16" x14ac:dyDescent="0.2">
      <c r="A5" s="18" t="s">
        <v>148</v>
      </c>
      <c r="B5" s="20">
        <v>2649</v>
      </c>
      <c r="C5" s="20">
        <v>2517</v>
      </c>
      <c r="G5" s="38" t="s">
        <v>149</v>
      </c>
      <c r="H5" s="38" t="s">
        <v>150</v>
      </c>
      <c r="I5" s="39">
        <f>B10/B24</f>
        <v>1.14033623091613</v>
      </c>
      <c r="J5" s="38">
        <v>1.21</v>
      </c>
      <c r="K5" s="38">
        <v>1.04</v>
      </c>
    </row>
    <row r="6" spans="1:11" ht="16" x14ac:dyDescent="0.2">
      <c r="A6" s="18" t="s">
        <v>151</v>
      </c>
      <c r="B6" s="20">
        <v>8317</v>
      </c>
      <c r="C6" s="20">
        <v>8634</v>
      </c>
      <c r="G6" s="38" t="s">
        <v>152</v>
      </c>
      <c r="H6" s="38" t="s">
        <v>153</v>
      </c>
      <c r="I6" s="39">
        <f>(B3+B4+B5)/B24</f>
        <v>0.19424588059732642</v>
      </c>
      <c r="J6" s="38">
        <v>0.21</v>
      </c>
      <c r="K6" s="38">
        <v>0.37</v>
      </c>
    </row>
    <row r="7" spans="1:11" ht="16" x14ac:dyDescent="0.2">
      <c r="A7" s="18" t="s">
        <v>154</v>
      </c>
      <c r="B7" s="20">
        <v>99</v>
      </c>
      <c r="C7" s="20">
        <v>154</v>
      </c>
      <c r="G7" s="38" t="s">
        <v>155</v>
      </c>
      <c r="H7" s="38" t="s">
        <v>156</v>
      </c>
      <c r="I7" s="39">
        <f>B30/E34</f>
        <v>4.7721295751987869</v>
      </c>
      <c r="J7" s="38">
        <v>6.67</v>
      </c>
      <c r="K7" s="38">
        <v>1.64</v>
      </c>
    </row>
    <row r="8" spans="1:11" ht="16" x14ac:dyDescent="0.2">
      <c r="A8" s="35" t="s">
        <v>157</v>
      </c>
      <c r="B8" s="20">
        <v>79741</v>
      </c>
      <c r="C8" s="20">
        <v>78151</v>
      </c>
      <c r="G8" s="38" t="s">
        <v>158</v>
      </c>
      <c r="H8" s="38" t="s">
        <v>159</v>
      </c>
      <c r="I8" s="39">
        <f>(B29+B23) / E34</f>
        <v>1.6183595804585253</v>
      </c>
      <c r="J8" s="38">
        <v>2.87</v>
      </c>
      <c r="K8" s="38">
        <v>0.69</v>
      </c>
    </row>
    <row r="9" spans="1:11" ht="16" x14ac:dyDescent="0.2">
      <c r="A9" s="18" t="s">
        <v>160</v>
      </c>
      <c r="B9" s="20">
        <v>2504</v>
      </c>
      <c r="C9" s="20">
        <v>2847</v>
      </c>
      <c r="G9" s="38" t="s">
        <v>161</v>
      </c>
      <c r="H9" s="38" t="s">
        <v>162</v>
      </c>
      <c r="I9" s="39">
        <f>G69/B71</f>
        <v>0.31435542903619357</v>
      </c>
      <c r="J9" s="38">
        <v>9.2899999999999991</v>
      </c>
      <c r="K9" s="38">
        <v>2.37</v>
      </c>
    </row>
    <row r="10" spans="1:11" ht="16" x14ac:dyDescent="0.2">
      <c r="A10" s="18" t="s">
        <v>163</v>
      </c>
      <c r="B10" s="20">
        <v>109275</v>
      </c>
      <c r="C10" s="20">
        <v>109523</v>
      </c>
      <c r="G10" s="38" t="s">
        <v>164</v>
      </c>
      <c r="H10" s="38" t="s">
        <v>165</v>
      </c>
      <c r="I10" s="39">
        <f>(G69+B107) / B71</f>
        <v>-0.44245628304188694</v>
      </c>
      <c r="J10" s="38">
        <v>10.85</v>
      </c>
      <c r="K10" s="38">
        <v>5.16</v>
      </c>
    </row>
    <row r="11" spans="1:11" ht="16" x14ac:dyDescent="0.2">
      <c r="A11" s="18" t="s">
        <v>166</v>
      </c>
      <c r="B11" s="20">
        <v>860</v>
      </c>
      <c r="C11" s="20">
        <v>1450</v>
      </c>
      <c r="G11" s="38" t="s">
        <v>167</v>
      </c>
      <c r="H11" s="38" t="s">
        <v>168</v>
      </c>
      <c r="I11" s="39">
        <f>B125 / (B29+B23)</f>
        <v>0.11394268453553062</v>
      </c>
      <c r="J11" s="38">
        <v>0.4</v>
      </c>
      <c r="K11" s="38">
        <v>0.19</v>
      </c>
    </row>
    <row r="12" spans="1:11" ht="16" x14ac:dyDescent="0.2">
      <c r="A12" s="35" t="s">
        <v>169</v>
      </c>
      <c r="B12" s="20">
        <v>10661</v>
      </c>
      <c r="C12" s="20">
        <v>10550</v>
      </c>
      <c r="G12" s="38" t="s">
        <v>170</v>
      </c>
      <c r="H12" s="38" t="s">
        <v>171</v>
      </c>
      <c r="I12" s="39">
        <f>(B125+B127) / (B23+B29)</f>
        <v>8.4749651098323359E-2</v>
      </c>
      <c r="J12" s="38">
        <v>0.32</v>
      </c>
      <c r="K12" s="38">
        <v>0.13</v>
      </c>
    </row>
    <row r="13" spans="1:11" ht="16" x14ac:dyDescent="0.2">
      <c r="A13" s="35" t="s">
        <v>172</v>
      </c>
      <c r="B13" s="20">
        <v>8093</v>
      </c>
      <c r="C13" s="20">
        <v>8057</v>
      </c>
    </row>
    <row r="14" spans="1:11" ht="16" x14ac:dyDescent="0.2">
      <c r="A14" s="35" t="s">
        <v>173</v>
      </c>
      <c r="B14" s="20">
        <v>2094</v>
      </c>
      <c r="C14" s="20">
        <v>2311</v>
      </c>
    </row>
    <row r="15" spans="1:11" ht="16" x14ac:dyDescent="0.2">
      <c r="A15" s="18" t="s">
        <v>174</v>
      </c>
      <c r="B15" s="20">
        <v>59</v>
      </c>
      <c r="C15" s="20">
        <v>63</v>
      </c>
    </row>
    <row r="16" spans="1:11" ht="16" x14ac:dyDescent="0.2">
      <c r="A16" s="18" t="s">
        <v>175</v>
      </c>
      <c r="B16" s="20">
        <v>1035</v>
      </c>
      <c r="C16" s="20">
        <v>983</v>
      </c>
    </row>
    <row r="17" spans="1:3" ht="16" x14ac:dyDescent="0.2">
      <c r="A17" s="18" t="s">
        <v>176</v>
      </c>
      <c r="B17" s="20">
        <v>4935</v>
      </c>
      <c r="C17" s="20">
        <v>4163</v>
      </c>
    </row>
    <row r="18" spans="1:3" ht="16" x14ac:dyDescent="0.2">
      <c r="A18" s="18" t="s">
        <v>177</v>
      </c>
      <c r="B18" s="20">
        <v>137012</v>
      </c>
      <c r="C18" s="20">
        <v>137100</v>
      </c>
    </row>
    <row r="19" spans="1:3" ht="16" x14ac:dyDescent="0.2">
      <c r="A19" s="17" t="s">
        <v>178</v>
      </c>
      <c r="B19" s="18" t="s">
        <v>5</v>
      </c>
      <c r="C19" s="18" t="s">
        <v>5</v>
      </c>
    </row>
    <row r="20" spans="1:3" ht="16" x14ac:dyDescent="0.2">
      <c r="A20" s="18" t="s">
        <v>179</v>
      </c>
      <c r="B20" s="20">
        <v>11964</v>
      </c>
      <c r="C20" s="20">
        <v>10200</v>
      </c>
    </row>
    <row r="21" spans="1:3" ht="16" x14ac:dyDescent="0.2">
      <c r="A21" s="18" t="s">
        <v>180</v>
      </c>
      <c r="B21" s="20">
        <v>22331</v>
      </c>
      <c r="C21" s="20">
        <v>21581</v>
      </c>
    </row>
    <row r="22" spans="1:3" ht="16" x14ac:dyDescent="0.2">
      <c r="A22" s="18" t="s">
        <v>181</v>
      </c>
      <c r="B22" s="20">
        <v>56328</v>
      </c>
      <c r="C22" s="20">
        <v>53081</v>
      </c>
    </row>
    <row r="23" spans="1:3" ht="16" x14ac:dyDescent="0.2">
      <c r="A23" s="18" t="s">
        <v>182</v>
      </c>
      <c r="B23" s="20">
        <v>5204</v>
      </c>
      <c r="C23" s="20">
        <v>5190</v>
      </c>
    </row>
    <row r="24" spans="1:3" ht="16" x14ac:dyDescent="0.2">
      <c r="A24" s="18" t="s">
        <v>183</v>
      </c>
      <c r="B24" s="20">
        <v>95827</v>
      </c>
      <c r="C24" s="20">
        <v>90052</v>
      </c>
    </row>
    <row r="25" spans="1:3" ht="16" x14ac:dyDescent="0.2">
      <c r="A25" s="18" t="s">
        <v>174</v>
      </c>
      <c r="B25" s="20">
        <v>229</v>
      </c>
      <c r="C25" s="20">
        <v>230</v>
      </c>
    </row>
    <row r="26" spans="1:3" ht="16" x14ac:dyDescent="0.2">
      <c r="A26" s="18" t="s">
        <v>184</v>
      </c>
      <c r="B26" s="20">
        <v>2233</v>
      </c>
      <c r="C26" s="20">
        <v>2503</v>
      </c>
    </row>
    <row r="27" spans="1:3" ht="16" x14ac:dyDescent="0.2">
      <c r="A27" s="18" t="s">
        <v>185</v>
      </c>
      <c r="B27" s="20">
        <v>6516</v>
      </c>
      <c r="C27" s="20">
        <v>6141</v>
      </c>
    </row>
    <row r="28" spans="1:3" ht="16" x14ac:dyDescent="0.2">
      <c r="A28" s="18" t="s">
        <v>186</v>
      </c>
      <c r="B28" s="20">
        <v>2332</v>
      </c>
      <c r="C28" s="20">
        <v>2211</v>
      </c>
    </row>
    <row r="29" spans="1:3" ht="16" x14ac:dyDescent="0.2">
      <c r="A29" s="18" t="s">
        <v>187</v>
      </c>
      <c r="B29" s="20">
        <v>47103</v>
      </c>
      <c r="C29" s="20">
        <v>51811</v>
      </c>
    </row>
    <row r="30" spans="1:3" ht="16" x14ac:dyDescent="0.2">
      <c r="A30" s="18" t="s">
        <v>188</v>
      </c>
      <c r="B30" s="20">
        <v>154240</v>
      </c>
      <c r="C30" s="20">
        <v>152948</v>
      </c>
    </row>
    <row r="31" spans="1:3" ht="16" x14ac:dyDescent="0.2">
      <c r="A31" s="17" t="s">
        <v>189</v>
      </c>
      <c r="B31" s="18" t="s">
        <v>5</v>
      </c>
      <c r="C31" s="18" t="s">
        <v>5</v>
      </c>
    </row>
    <row r="32" spans="1:3" ht="16" x14ac:dyDescent="0.2">
      <c r="A32" s="18" t="s">
        <v>190</v>
      </c>
      <c r="B32" s="20">
        <v>5061</v>
      </c>
      <c r="C32" s="20">
        <v>5061</v>
      </c>
    </row>
    <row r="33" spans="1:5" ht="16" x14ac:dyDescent="0.2">
      <c r="A33" s="18" t="s">
        <v>191</v>
      </c>
      <c r="B33" s="20">
        <v>10309</v>
      </c>
      <c r="C33" s="20">
        <v>9947</v>
      </c>
      <c r="E33" t="s">
        <v>192</v>
      </c>
    </row>
    <row r="34" spans="1:5" ht="16" x14ac:dyDescent="0.2">
      <c r="A34" s="18" t="s">
        <v>193</v>
      </c>
      <c r="B34" s="20">
        <v>-49549</v>
      </c>
      <c r="C34" s="20">
        <v>-50814</v>
      </c>
      <c r="E34" s="15">
        <f>B39-B34</f>
        <v>32321</v>
      </c>
    </row>
    <row r="35" spans="1:5" ht="16" x14ac:dyDescent="0.2">
      <c r="A35" s="18" t="s">
        <v>194</v>
      </c>
      <c r="B35" s="20">
        <v>27251</v>
      </c>
      <c r="C35" s="20">
        <v>29473</v>
      </c>
    </row>
    <row r="36" spans="1:5" ht="16" x14ac:dyDescent="0.2">
      <c r="A36" s="18" t="s">
        <v>195</v>
      </c>
      <c r="B36" s="20">
        <v>-10305</v>
      </c>
      <c r="C36" s="20">
        <v>-9550</v>
      </c>
    </row>
    <row r="37" spans="1:5" ht="16" x14ac:dyDescent="0.2">
      <c r="A37" s="18" t="s">
        <v>196</v>
      </c>
      <c r="B37" s="20">
        <v>-17233</v>
      </c>
      <c r="C37" s="20">
        <v>-15883</v>
      </c>
    </row>
    <row r="38" spans="1:5" ht="16" x14ac:dyDescent="0.2">
      <c r="A38" s="18" t="s">
        <v>197</v>
      </c>
      <c r="B38" s="20">
        <v>5</v>
      </c>
      <c r="C38" s="20">
        <v>35</v>
      </c>
    </row>
    <row r="39" spans="1:5" ht="16" x14ac:dyDescent="0.2">
      <c r="A39" s="18" t="s">
        <v>198</v>
      </c>
      <c r="B39" s="20">
        <v>-17228</v>
      </c>
      <c r="C39" s="20">
        <v>-15848</v>
      </c>
    </row>
    <row r="40" spans="1:5" ht="16" x14ac:dyDescent="0.2">
      <c r="A40" s="18" t="s">
        <v>199</v>
      </c>
      <c r="B40" s="19">
        <v>137012</v>
      </c>
      <c r="C40" s="19">
        <v>137100</v>
      </c>
    </row>
    <row r="60" spans="1:4" ht="15" customHeight="1" x14ac:dyDescent="0.2">
      <c r="A60" s="62" t="s">
        <v>74</v>
      </c>
      <c r="B60" s="63" t="s">
        <v>1</v>
      </c>
      <c r="C60" s="60"/>
      <c r="D60" s="60"/>
    </row>
    <row r="61" spans="1:4" ht="32" x14ac:dyDescent="0.2">
      <c r="A61" s="60"/>
      <c r="B61" s="33" t="s">
        <v>2</v>
      </c>
      <c r="C61" s="33" t="s">
        <v>75</v>
      </c>
      <c r="D61" s="33" t="s">
        <v>76</v>
      </c>
    </row>
    <row r="62" spans="1:4" ht="16" x14ac:dyDescent="0.2">
      <c r="A62" s="18" t="s">
        <v>77</v>
      </c>
      <c r="B62" s="19">
        <v>77794</v>
      </c>
      <c r="C62" s="19">
        <v>66608</v>
      </c>
      <c r="D62" s="19">
        <v>62286</v>
      </c>
    </row>
    <row r="63" spans="1:4" ht="16" x14ac:dyDescent="0.2">
      <c r="A63" s="18" t="s">
        <v>78</v>
      </c>
      <c r="B63" s="20">
        <v>-70070</v>
      </c>
      <c r="C63" s="20">
        <v>-63078</v>
      </c>
      <c r="D63" s="20">
        <v>-59237</v>
      </c>
    </row>
    <row r="64" spans="1:4" ht="16" x14ac:dyDescent="0.2">
      <c r="A64" s="18" t="s">
        <v>79</v>
      </c>
      <c r="B64" s="20">
        <v>7724</v>
      </c>
      <c r="C64" s="20">
        <v>3530</v>
      </c>
      <c r="D64" s="20">
        <v>3049</v>
      </c>
    </row>
    <row r="65" spans="1:7" ht="16" x14ac:dyDescent="0.2">
      <c r="A65" s="18" t="s">
        <v>80</v>
      </c>
      <c r="B65" s="20">
        <v>46</v>
      </c>
      <c r="C65" s="20">
        <v>-16</v>
      </c>
      <c r="D65" s="20">
        <v>210</v>
      </c>
    </row>
    <row r="66" spans="1:7" ht="16" x14ac:dyDescent="0.2">
      <c r="A66" s="18" t="s">
        <v>81</v>
      </c>
      <c r="B66" s="20">
        <v>-5168</v>
      </c>
      <c r="C66" s="20">
        <v>-4187</v>
      </c>
      <c r="D66" s="20">
        <v>-4157</v>
      </c>
    </row>
    <row r="67" spans="1:7" ht="16" x14ac:dyDescent="0.2">
      <c r="A67" s="18" t="s">
        <v>82</v>
      </c>
      <c r="B67" s="20">
        <v>-3377</v>
      </c>
      <c r="C67" s="20">
        <v>-2852</v>
      </c>
      <c r="D67" s="20">
        <v>-2249</v>
      </c>
    </row>
    <row r="68" spans="1:7" ht="16" x14ac:dyDescent="0.2">
      <c r="A68" s="18" t="s">
        <v>83</v>
      </c>
      <c r="B68" s="20">
        <v>2</v>
      </c>
      <c r="C68" s="20">
        <v>6</v>
      </c>
      <c r="D68" s="20">
        <v>277</v>
      </c>
      <c r="G68" t="s">
        <v>200</v>
      </c>
    </row>
    <row r="69" spans="1:7" ht="16" x14ac:dyDescent="0.2">
      <c r="A69" s="18" t="s">
        <v>84</v>
      </c>
      <c r="B69" s="30">
        <v>-773</v>
      </c>
      <c r="C69" s="20">
        <v>-3519</v>
      </c>
      <c r="D69" s="20">
        <v>-2870</v>
      </c>
      <c r="G69" s="15">
        <f>B69</f>
        <v>-773</v>
      </c>
    </row>
    <row r="70" spans="1:7" ht="16" x14ac:dyDescent="0.2">
      <c r="A70" s="18" t="s">
        <v>85</v>
      </c>
      <c r="B70" s="20">
        <v>1227</v>
      </c>
      <c r="C70" s="20">
        <v>1058</v>
      </c>
      <c r="D70" s="20">
        <v>551</v>
      </c>
    </row>
    <row r="71" spans="1:7" ht="16" x14ac:dyDescent="0.2">
      <c r="A71" s="18" t="s">
        <v>87</v>
      </c>
      <c r="B71" s="30">
        <v>-2459</v>
      </c>
      <c r="C71" s="20">
        <v>-2561</v>
      </c>
      <c r="D71" s="20">
        <v>-2714</v>
      </c>
    </row>
    <row r="72" spans="1:7" ht="16" x14ac:dyDescent="0.2">
      <c r="A72" s="18" t="s">
        <v>88</v>
      </c>
      <c r="B72" s="20">
        <v>-2005</v>
      </c>
      <c r="C72" s="20">
        <v>-5022</v>
      </c>
      <c r="D72" s="20">
        <v>-5033</v>
      </c>
    </row>
    <row r="73" spans="1:7" ht="16" x14ac:dyDescent="0.2">
      <c r="A73" s="18" t="s">
        <v>89</v>
      </c>
      <c r="B73" s="30">
        <v>-237</v>
      </c>
      <c r="C73" s="20">
        <v>-31</v>
      </c>
      <c r="D73" s="20">
        <v>743</v>
      </c>
      <c r="G73" s="36"/>
    </row>
    <row r="74" spans="1:7" ht="16" x14ac:dyDescent="0.2">
      <c r="A74" s="18" t="s">
        <v>90</v>
      </c>
      <c r="B74" s="20">
        <v>-2242</v>
      </c>
      <c r="C74" s="20">
        <v>-5053</v>
      </c>
      <c r="D74" s="20">
        <v>-4290</v>
      </c>
    </row>
    <row r="75" spans="1:7" ht="16" x14ac:dyDescent="0.2">
      <c r="A75" s="18" t="s">
        <v>91</v>
      </c>
      <c r="B75" s="20">
        <v>-20</v>
      </c>
      <c r="C75" s="20">
        <v>-118</v>
      </c>
      <c r="D75" s="20">
        <v>-88</v>
      </c>
    </row>
    <row r="76" spans="1:7" ht="16" x14ac:dyDescent="0.2">
      <c r="A76" s="18" t="s">
        <v>92</v>
      </c>
      <c r="B76" s="19">
        <v>-2222</v>
      </c>
      <c r="C76" s="19">
        <v>-4935</v>
      </c>
      <c r="D76" s="19">
        <v>-4202</v>
      </c>
    </row>
    <row r="77" spans="1:7" ht="16" x14ac:dyDescent="0.2">
      <c r="A77" s="18" t="s">
        <v>93</v>
      </c>
      <c r="B77" s="31">
        <v>-3.67</v>
      </c>
      <c r="C77" s="31">
        <v>-8.3000000000000007</v>
      </c>
      <c r="D77" s="31">
        <v>-7.15</v>
      </c>
    </row>
    <row r="78" spans="1:7" ht="16" x14ac:dyDescent="0.2">
      <c r="A78" s="18" t="s">
        <v>94</v>
      </c>
      <c r="B78" s="31">
        <v>-3.67</v>
      </c>
      <c r="C78" s="31">
        <v>-8.3000000000000007</v>
      </c>
      <c r="D78" s="31">
        <v>-7.15</v>
      </c>
    </row>
    <row r="79" spans="1:7" ht="16" x14ac:dyDescent="0.2">
      <c r="A79" s="18" t="s">
        <v>95</v>
      </c>
      <c r="B79" s="18" t="s">
        <v>5</v>
      </c>
      <c r="C79" s="18" t="s">
        <v>5</v>
      </c>
      <c r="D79" s="18" t="s">
        <v>5</v>
      </c>
    </row>
    <row r="80" spans="1:7" ht="16" x14ac:dyDescent="0.2">
      <c r="A80" s="18" t="s">
        <v>77</v>
      </c>
      <c r="B80" s="19">
        <v>65581</v>
      </c>
      <c r="C80" s="19">
        <v>55893</v>
      </c>
      <c r="D80" s="19">
        <v>51386</v>
      </c>
    </row>
    <row r="81" spans="1:4" ht="16" x14ac:dyDescent="0.2">
      <c r="A81" s="18" t="s">
        <v>96</v>
      </c>
      <c r="B81" s="20">
        <v>-59864</v>
      </c>
      <c r="C81" s="20">
        <v>-53969</v>
      </c>
      <c r="D81" s="20">
        <v>-49954</v>
      </c>
    </row>
    <row r="82" spans="1:4" ht="16" x14ac:dyDescent="0.2">
      <c r="A82" s="18" t="s">
        <v>97</v>
      </c>
      <c r="B82" s="18"/>
      <c r="C82" s="18" t="s">
        <v>5</v>
      </c>
      <c r="D82" s="18" t="s">
        <v>5</v>
      </c>
    </row>
    <row r="83" spans="1:4" ht="16" x14ac:dyDescent="0.2">
      <c r="A83" s="18" t="s">
        <v>77</v>
      </c>
      <c r="B83" s="20">
        <v>12213</v>
      </c>
      <c r="C83" s="20">
        <v>10715</v>
      </c>
      <c r="D83" s="20">
        <v>10900</v>
      </c>
    </row>
    <row r="84" spans="1:4" ht="16" x14ac:dyDescent="0.2">
      <c r="A84" s="18" t="s">
        <v>96</v>
      </c>
      <c r="B84" s="19">
        <v>-10206</v>
      </c>
      <c r="C84" s="19">
        <v>-9109</v>
      </c>
      <c r="D84" s="19">
        <v>-9283</v>
      </c>
    </row>
    <row r="100" spans="1:4" ht="15" customHeight="1" x14ac:dyDescent="0.2">
      <c r="A100" s="62" t="s">
        <v>201</v>
      </c>
      <c r="B100" s="63" t="s">
        <v>1</v>
      </c>
      <c r="C100" s="60"/>
      <c r="D100" s="60"/>
    </row>
    <row r="101" spans="1:4" ht="32" x14ac:dyDescent="0.2">
      <c r="A101" s="60"/>
      <c r="B101" s="33" t="s">
        <v>2</v>
      </c>
      <c r="C101" s="33" t="s">
        <v>75</v>
      </c>
      <c r="D101" s="33" t="s">
        <v>76</v>
      </c>
    </row>
    <row r="102" spans="1:4" ht="16" x14ac:dyDescent="0.2">
      <c r="A102" s="17" t="s">
        <v>202</v>
      </c>
      <c r="B102" s="18" t="s">
        <v>5</v>
      </c>
      <c r="C102" s="18" t="s">
        <v>5</v>
      </c>
      <c r="D102" s="18" t="s">
        <v>5</v>
      </c>
    </row>
    <row r="103" spans="1:4" ht="16" x14ac:dyDescent="0.2">
      <c r="A103" s="18" t="s">
        <v>90</v>
      </c>
      <c r="B103" s="19">
        <v>-2242</v>
      </c>
      <c r="C103" s="19">
        <v>-5053</v>
      </c>
      <c r="D103" s="19">
        <v>-4290</v>
      </c>
    </row>
    <row r="104" spans="1:4" ht="16" x14ac:dyDescent="0.2">
      <c r="A104" s="17" t="s">
        <v>203</v>
      </c>
      <c r="B104" s="18" t="s">
        <v>5</v>
      </c>
      <c r="C104" s="18" t="s">
        <v>5</v>
      </c>
      <c r="D104" s="18" t="s">
        <v>5</v>
      </c>
    </row>
    <row r="105" spans="1:4" ht="16" x14ac:dyDescent="0.2">
      <c r="A105" s="18" t="s">
        <v>204</v>
      </c>
      <c r="B105" s="20">
        <v>690</v>
      </c>
      <c r="C105" s="20">
        <v>725</v>
      </c>
      <c r="D105" s="20">
        <v>833</v>
      </c>
    </row>
    <row r="106" spans="1:4" ht="16" x14ac:dyDescent="0.2">
      <c r="A106" s="18" t="s">
        <v>205</v>
      </c>
      <c r="B106" s="20">
        <v>1515</v>
      </c>
      <c r="C106" s="20">
        <v>1215</v>
      </c>
      <c r="D106" s="20">
        <v>1233</v>
      </c>
    </row>
    <row r="107" spans="1:4" ht="16" x14ac:dyDescent="0.2">
      <c r="A107" s="37" t="s">
        <v>206</v>
      </c>
      <c r="B107" s="20">
        <v>1861</v>
      </c>
      <c r="C107" s="20">
        <v>1979</v>
      </c>
      <c r="D107" s="20">
        <v>2144</v>
      </c>
    </row>
    <row r="108" spans="1:4" ht="16" x14ac:dyDescent="0.2">
      <c r="A108" s="18" t="s">
        <v>207</v>
      </c>
      <c r="B108" s="20">
        <v>46</v>
      </c>
      <c r="C108" s="20">
        <v>112</v>
      </c>
      <c r="D108" s="20">
        <v>98</v>
      </c>
    </row>
    <row r="109" spans="1:4" ht="16" x14ac:dyDescent="0.2">
      <c r="A109" s="18" t="s">
        <v>83</v>
      </c>
      <c r="B109" s="20">
        <v>-2</v>
      </c>
      <c r="C109" s="20">
        <v>-6</v>
      </c>
      <c r="D109" s="20">
        <v>-277</v>
      </c>
    </row>
    <row r="110" spans="1:4" ht="16" x14ac:dyDescent="0.2">
      <c r="A110" s="18" t="s">
        <v>208</v>
      </c>
      <c r="B110" s="18" t="s">
        <v>111</v>
      </c>
      <c r="C110" s="18" t="s">
        <v>111</v>
      </c>
      <c r="D110" s="20">
        <v>3460</v>
      </c>
    </row>
    <row r="111" spans="1:4" ht="16" x14ac:dyDescent="0.2">
      <c r="A111" s="18" t="s">
        <v>209</v>
      </c>
      <c r="B111" s="20">
        <v>3</v>
      </c>
      <c r="C111" s="20">
        <v>401</v>
      </c>
      <c r="D111" s="20">
        <v>360</v>
      </c>
    </row>
    <row r="112" spans="1:4" ht="16" x14ac:dyDescent="0.2">
      <c r="A112" s="17" t="s">
        <v>210</v>
      </c>
      <c r="B112" s="18" t="s">
        <v>5</v>
      </c>
      <c r="C112" s="18" t="s">
        <v>5</v>
      </c>
      <c r="D112" s="18" t="s">
        <v>5</v>
      </c>
    </row>
    <row r="113" spans="1:4" ht="16" x14ac:dyDescent="0.2">
      <c r="A113" s="18" t="s">
        <v>211</v>
      </c>
      <c r="B113" s="20">
        <v>-128</v>
      </c>
      <c r="C113" s="20">
        <v>142</v>
      </c>
      <c r="D113" s="20">
        <v>-713</v>
      </c>
    </row>
    <row r="114" spans="1:4" ht="16" x14ac:dyDescent="0.2">
      <c r="A114" s="18" t="s">
        <v>212</v>
      </c>
      <c r="B114" s="20">
        <v>321</v>
      </c>
      <c r="C114" s="20">
        <v>6</v>
      </c>
      <c r="D114" s="20">
        <v>-586</v>
      </c>
    </row>
    <row r="115" spans="1:4" ht="16" x14ac:dyDescent="0.2">
      <c r="A115" s="18" t="s">
        <v>181</v>
      </c>
      <c r="B115" s="20">
        <v>3365</v>
      </c>
      <c r="C115" s="20">
        <v>108</v>
      </c>
      <c r="D115" s="20">
        <v>2505</v>
      </c>
    </row>
    <row r="116" spans="1:4" ht="16" x14ac:dyDescent="0.2">
      <c r="A116" s="18" t="s">
        <v>157</v>
      </c>
      <c r="B116" s="20">
        <v>-1681</v>
      </c>
      <c r="C116" s="20">
        <v>420</v>
      </c>
      <c r="D116" s="20">
        <v>-1127</v>
      </c>
    </row>
    <row r="117" spans="1:4" ht="16" x14ac:dyDescent="0.2">
      <c r="A117" s="18" t="s">
        <v>213</v>
      </c>
      <c r="B117" s="20">
        <v>389</v>
      </c>
      <c r="C117" s="20">
        <v>-591</v>
      </c>
      <c r="D117" s="20">
        <v>345</v>
      </c>
    </row>
    <row r="118" spans="1:4" ht="16" x14ac:dyDescent="0.2">
      <c r="A118" s="18" t="s">
        <v>179</v>
      </c>
      <c r="B118" s="20">
        <v>1672</v>
      </c>
      <c r="C118" s="20">
        <v>838</v>
      </c>
      <c r="D118" s="20">
        <v>-3783</v>
      </c>
    </row>
    <row r="119" spans="1:4" ht="16" x14ac:dyDescent="0.2">
      <c r="A119" s="18" t="s">
        <v>180</v>
      </c>
      <c r="B119" s="20">
        <v>779</v>
      </c>
      <c r="C119" s="20">
        <v>2956</v>
      </c>
      <c r="D119" s="20">
        <v>-3687</v>
      </c>
    </row>
    <row r="120" spans="1:4" ht="16" x14ac:dyDescent="0.2">
      <c r="A120" s="18" t="s">
        <v>214</v>
      </c>
      <c r="B120" s="20">
        <v>44</v>
      </c>
      <c r="C120" s="20">
        <v>1347</v>
      </c>
      <c r="D120" s="20">
        <v>733</v>
      </c>
    </row>
    <row r="121" spans="1:4" ht="16" x14ac:dyDescent="0.2">
      <c r="A121" s="18" t="s">
        <v>186</v>
      </c>
      <c r="B121" s="20">
        <v>-313</v>
      </c>
      <c r="C121" s="20">
        <v>-158</v>
      </c>
      <c r="D121" s="20">
        <v>-206</v>
      </c>
    </row>
    <row r="122" spans="1:4" ht="16" x14ac:dyDescent="0.2">
      <c r="A122" s="18" t="s">
        <v>215</v>
      </c>
      <c r="B122" s="20">
        <v>-1049</v>
      </c>
      <c r="C122" s="20">
        <v>-1378</v>
      </c>
      <c r="D122" s="20">
        <v>-972</v>
      </c>
    </row>
    <row r="123" spans="1:4" ht="16" x14ac:dyDescent="0.2">
      <c r="A123" s="18" t="s">
        <v>166</v>
      </c>
      <c r="B123" s="20">
        <v>571</v>
      </c>
      <c r="C123" s="20">
        <v>142</v>
      </c>
      <c r="D123" s="20">
        <v>210</v>
      </c>
    </row>
    <row r="124" spans="1:4" ht="16" x14ac:dyDescent="0.2">
      <c r="A124" s="18" t="s">
        <v>216</v>
      </c>
      <c r="B124" s="20">
        <v>119</v>
      </c>
      <c r="C124" s="20">
        <v>307</v>
      </c>
      <c r="D124" s="20">
        <v>304</v>
      </c>
    </row>
    <row r="125" spans="1:4" ht="16" x14ac:dyDescent="0.2">
      <c r="A125" s="18" t="s">
        <v>217</v>
      </c>
      <c r="B125" s="20">
        <v>5960</v>
      </c>
      <c r="C125" s="20">
        <v>3512</v>
      </c>
      <c r="D125" s="20">
        <v>-3416</v>
      </c>
    </row>
    <row r="126" spans="1:4" ht="16" x14ac:dyDescent="0.2">
      <c r="A126" s="17" t="s">
        <v>218</v>
      </c>
      <c r="B126" s="18" t="s">
        <v>5</v>
      </c>
      <c r="C126" s="18" t="s">
        <v>5</v>
      </c>
      <c r="D126" s="18" t="s">
        <v>5</v>
      </c>
    </row>
    <row r="127" spans="1:4" ht="16" x14ac:dyDescent="0.2">
      <c r="A127" s="18" t="s">
        <v>219</v>
      </c>
      <c r="B127" s="20">
        <v>-1527</v>
      </c>
      <c r="C127" s="20">
        <v>-1222</v>
      </c>
      <c r="D127" s="20">
        <v>-980</v>
      </c>
    </row>
    <row r="128" spans="1:4" ht="16" x14ac:dyDescent="0.2">
      <c r="A128" s="18" t="s">
        <v>220</v>
      </c>
      <c r="B128" s="20">
        <v>27</v>
      </c>
      <c r="C128" s="20">
        <v>35</v>
      </c>
      <c r="D128" s="20">
        <v>529</v>
      </c>
    </row>
    <row r="129" spans="1:4" ht="16" x14ac:dyDescent="0.2">
      <c r="A129" s="18" t="s">
        <v>221</v>
      </c>
      <c r="B129" s="20">
        <v>-70</v>
      </c>
      <c r="C129" s="18" t="s">
        <v>111</v>
      </c>
      <c r="D129" s="20">
        <v>-6</v>
      </c>
    </row>
    <row r="130" spans="1:4" ht="16" x14ac:dyDescent="0.2">
      <c r="A130" s="18" t="s">
        <v>222</v>
      </c>
      <c r="B130" s="20">
        <v>-16448</v>
      </c>
      <c r="C130" s="20">
        <v>-5051</v>
      </c>
      <c r="D130" s="20">
        <v>-35713</v>
      </c>
    </row>
    <row r="131" spans="1:4" ht="16" x14ac:dyDescent="0.2">
      <c r="A131" s="18" t="s">
        <v>223</v>
      </c>
      <c r="B131" s="20">
        <v>15739</v>
      </c>
      <c r="C131" s="20">
        <v>10619</v>
      </c>
      <c r="D131" s="20">
        <v>45489</v>
      </c>
    </row>
    <row r="132" spans="1:4" ht="16" x14ac:dyDescent="0.2">
      <c r="A132" s="18" t="s">
        <v>216</v>
      </c>
      <c r="B132" s="20">
        <v>-158</v>
      </c>
      <c r="C132" s="20">
        <v>-11</v>
      </c>
      <c r="D132" s="20">
        <v>5</v>
      </c>
    </row>
    <row r="133" spans="1:4" ht="16" x14ac:dyDescent="0.2">
      <c r="A133" s="18" t="s">
        <v>224</v>
      </c>
      <c r="B133" s="20">
        <v>-2437</v>
      </c>
      <c r="C133" s="20">
        <v>4370</v>
      </c>
      <c r="D133" s="20">
        <v>9324</v>
      </c>
    </row>
    <row r="134" spans="1:4" ht="16" x14ac:dyDescent="0.2">
      <c r="A134" s="17" t="s">
        <v>225</v>
      </c>
      <c r="B134" s="18" t="s">
        <v>5</v>
      </c>
      <c r="C134" s="18" t="s">
        <v>5</v>
      </c>
      <c r="D134" s="18" t="s">
        <v>5</v>
      </c>
    </row>
    <row r="135" spans="1:4" ht="16" x14ac:dyDescent="0.2">
      <c r="A135" s="18" t="s">
        <v>226</v>
      </c>
      <c r="B135" s="20">
        <v>75</v>
      </c>
      <c r="C135" s="20">
        <v>34</v>
      </c>
      <c r="D135" s="20">
        <v>9795</v>
      </c>
    </row>
    <row r="136" spans="1:4" ht="16" x14ac:dyDescent="0.2">
      <c r="A136" s="18" t="s">
        <v>227</v>
      </c>
      <c r="B136" s="20">
        <v>-5216</v>
      </c>
      <c r="C136" s="20">
        <v>-1310</v>
      </c>
      <c r="D136" s="20">
        <v>-15371</v>
      </c>
    </row>
    <row r="137" spans="1:4" ht="16" x14ac:dyDescent="0.2">
      <c r="A137" s="18" t="s">
        <v>228</v>
      </c>
      <c r="B137" s="20">
        <v>45</v>
      </c>
      <c r="C137" s="20">
        <v>50</v>
      </c>
      <c r="D137" s="20">
        <v>42</v>
      </c>
    </row>
    <row r="138" spans="1:4" ht="16" x14ac:dyDescent="0.2">
      <c r="A138" s="18" t="s">
        <v>229</v>
      </c>
      <c r="B138" s="20">
        <v>-408</v>
      </c>
      <c r="C138" s="20">
        <v>-40</v>
      </c>
      <c r="D138" s="20">
        <v>-66</v>
      </c>
    </row>
    <row r="139" spans="1:4" ht="16" x14ac:dyDescent="0.2">
      <c r="A139" s="18" t="s">
        <v>216</v>
      </c>
      <c r="B139" s="20">
        <v>17</v>
      </c>
      <c r="C139" s="18" t="s">
        <v>111</v>
      </c>
      <c r="D139" s="18" t="s">
        <v>111</v>
      </c>
    </row>
    <row r="140" spans="1:4" ht="16" x14ac:dyDescent="0.2">
      <c r="A140" s="18" t="s">
        <v>230</v>
      </c>
      <c r="B140" s="20">
        <v>-5487</v>
      </c>
      <c r="C140" s="20">
        <v>-1266</v>
      </c>
      <c r="D140" s="20">
        <v>-5600</v>
      </c>
    </row>
    <row r="141" spans="1:4" ht="16" x14ac:dyDescent="0.2">
      <c r="A141" s="18" t="s">
        <v>231</v>
      </c>
      <c r="B141" s="20">
        <v>30</v>
      </c>
      <c r="C141" s="20">
        <v>-73</v>
      </c>
      <c r="D141" s="20">
        <v>-39</v>
      </c>
    </row>
    <row r="142" spans="1:4" ht="16" x14ac:dyDescent="0.2">
      <c r="A142" s="18" t="s">
        <v>232</v>
      </c>
      <c r="B142" s="20">
        <v>-1934</v>
      </c>
      <c r="C142" s="20">
        <v>6543</v>
      </c>
      <c r="D142" s="20">
        <v>269</v>
      </c>
    </row>
    <row r="143" spans="1:4" ht="16" x14ac:dyDescent="0.2">
      <c r="A143" s="18" t="s">
        <v>233</v>
      </c>
      <c r="B143" s="20">
        <v>14647</v>
      </c>
      <c r="C143" s="20">
        <v>8104</v>
      </c>
      <c r="D143" s="20">
        <v>7835</v>
      </c>
    </row>
    <row r="144" spans="1:4" ht="16" x14ac:dyDescent="0.2">
      <c r="A144" s="18" t="s">
        <v>234</v>
      </c>
      <c r="B144" s="20">
        <v>12713</v>
      </c>
      <c r="C144" s="20">
        <v>14647</v>
      </c>
      <c r="D144" s="20">
        <v>8104</v>
      </c>
    </row>
    <row r="145" spans="1:4" ht="16" x14ac:dyDescent="0.2">
      <c r="A145" s="18" t="s">
        <v>235</v>
      </c>
      <c r="B145" s="20">
        <v>22</v>
      </c>
      <c r="C145" s="20">
        <v>33</v>
      </c>
      <c r="D145" s="20">
        <v>52</v>
      </c>
    </row>
    <row r="146" spans="1:4" ht="16" x14ac:dyDescent="0.2">
      <c r="A146" s="18" t="s">
        <v>140</v>
      </c>
      <c r="B146" s="19">
        <v>12691</v>
      </c>
      <c r="C146" s="19">
        <v>14614</v>
      </c>
      <c r="D146" s="19">
        <v>8052</v>
      </c>
    </row>
  </sheetData>
  <mergeCells count="4">
    <mergeCell ref="A60:A61"/>
    <mergeCell ref="B60:D60"/>
    <mergeCell ref="A100:A101"/>
    <mergeCell ref="B100:D10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8151-B8FB-4749-A75B-13AB7D5504D0}">
  <dimension ref="B2:D7"/>
  <sheetViews>
    <sheetView workbookViewId="0"/>
  </sheetViews>
  <sheetFormatPr baseColWidth="10" defaultColWidth="8.83203125" defaultRowHeight="15" x14ac:dyDescent="0.2"/>
  <cols>
    <col min="2" max="2" width="33.1640625" customWidth="1"/>
    <col min="4" max="4" width="25.6640625" customWidth="1"/>
  </cols>
  <sheetData>
    <row r="2" spans="2:4" x14ac:dyDescent="0.2">
      <c r="B2" s="41" t="s">
        <v>236</v>
      </c>
      <c r="C2" s="45"/>
      <c r="D2" s="45"/>
    </row>
    <row r="3" spans="2:4" x14ac:dyDescent="0.2">
      <c r="B3" s="45"/>
      <c r="C3" s="45"/>
      <c r="D3" s="45"/>
    </row>
    <row r="4" spans="2:4" x14ac:dyDescent="0.2">
      <c r="B4" s="45"/>
      <c r="C4" s="41" t="s">
        <v>237</v>
      </c>
      <c r="D4" s="41" t="s">
        <v>238</v>
      </c>
    </row>
    <row r="5" spans="2:4" x14ac:dyDescent="0.2">
      <c r="B5" s="41" t="s">
        <v>145</v>
      </c>
      <c r="C5" s="38" t="s">
        <v>239</v>
      </c>
      <c r="D5" s="46">
        <v>45411</v>
      </c>
    </row>
    <row r="6" spans="2:4" x14ac:dyDescent="0.2">
      <c r="B6" s="41" t="s">
        <v>146</v>
      </c>
      <c r="C6" s="38" t="s">
        <v>240</v>
      </c>
      <c r="D6" s="46">
        <v>45152</v>
      </c>
    </row>
    <row r="7" spans="2:4" x14ac:dyDescent="0.2">
      <c r="B7" s="41" t="s">
        <v>147</v>
      </c>
      <c r="C7" s="38" t="s">
        <v>241</v>
      </c>
      <c r="D7" s="46">
        <v>45222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017AD-DA44-4F4B-8181-7B0B8A834BD1}">
  <dimension ref="A1:N40"/>
  <sheetViews>
    <sheetView topLeftCell="A9" workbookViewId="0">
      <selection activeCell="I19" sqref="I19"/>
    </sheetView>
  </sheetViews>
  <sheetFormatPr baseColWidth="10" defaultColWidth="8.83203125" defaultRowHeight="15" x14ac:dyDescent="0.2"/>
  <cols>
    <col min="1" max="1" width="80" customWidth="1"/>
    <col min="2" max="3" width="14" customWidth="1"/>
    <col min="4" max="4" width="14.1640625" customWidth="1"/>
    <col min="5" max="5" width="15.5" customWidth="1"/>
    <col min="6" max="6" width="12.33203125" customWidth="1"/>
    <col min="8" max="8" width="11.5" customWidth="1"/>
    <col min="9" max="9" width="14.83203125" customWidth="1"/>
    <col min="10" max="10" width="13.1640625" customWidth="1"/>
    <col min="11" max="11" width="12.5" customWidth="1"/>
    <col min="12" max="12" width="13" customWidth="1"/>
    <col min="14" max="14" width="24.33203125" bestFit="1" customWidth="1"/>
  </cols>
  <sheetData>
    <row r="1" spans="1:14" ht="16" x14ac:dyDescent="0.2">
      <c r="A1" s="11" t="s">
        <v>138</v>
      </c>
      <c r="B1" s="12" t="s">
        <v>2</v>
      </c>
      <c r="C1" s="12" t="s">
        <v>75</v>
      </c>
      <c r="J1" s="52" t="s">
        <v>145</v>
      </c>
      <c r="K1" s="49" t="s">
        <v>147</v>
      </c>
      <c r="L1" s="47" t="s">
        <v>242</v>
      </c>
    </row>
    <row r="2" spans="1:14" ht="16" x14ac:dyDescent="0.2">
      <c r="A2" s="1" t="s">
        <v>139</v>
      </c>
      <c r="B2" s="2" t="s">
        <v>5</v>
      </c>
      <c r="C2" s="2" t="s">
        <v>5</v>
      </c>
      <c r="F2" t="str">
        <f>B1</f>
        <v>Dec. 31, 2023</v>
      </c>
      <c r="G2" t="str">
        <f>C1</f>
        <v>Dec. 31, 2022</v>
      </c>
      <c r="J2" s="52" t="str">
        <f>F2</f>
        <v>Dec. 31, 2023</v>
      </c>
      <c r="K2" s="49" t="str">
        <f>J2</f>
        <v>Dec. 31, 2023</v>
      </c>
      <c r="L2" s="47" t="str">
        <f>K2</f>
        <v>Dec. 31, 2023</v>
      </c>
    </row>
    <row r="3" spans="1:14" ht="16" x14ac:dyDescent="0.2">
      <c r="A3" s="2" t="s">
        <v>140</v>
      </c>
      <c r="B3" s="5">
        <v>12691</v>
      </c>
      <c r="C3" s="5">
        <v>14614</v>
      </c>
      <c r="E3" t="s">
        <v>243</v>
      </c>
      <c r="F3" s="5">
        <v>77794</v>
      </c>
      <c r="I3" t="s">
        <v>244</v>
      </c>
      <c r="J3" s="53">
        <f>F4/F9</f>
        <v>0.13556657395090096</v>
      </c>
      <c r="K3" s="50">
        <v>4.7100000000000003E-2</v>
      </c>
      <c r="L3" s="48">
        <v>0.85960000000000003</v>
      </c>
      <c r="N3" s="25"/>
    </row>
    <row r="4" spans="1:14" ht="16" x14ac:dyDescent="0.2">
      <c r="A4" s="2" t="s">
        <v>142</v>
      </c>
      <c r="B4" s="4">
        <v>3274</v>
      </c>
      <c r="C4" s="4">
        <v>2606</v>
      </c>
      <c r="E4" t="s">
        <v>245</v>
      </c>
      <c r="F4" s="4">
        <v>-2242</v>
      </c>
      <c r="I4" t="s">
        <v>246</v>
      </c>
      <c r="J4" s="53">
        <f>F4/F6</f>
        <v>-1.6358276908708849E-2</v>
      </c>
      <c r="K4" s="50">
        <v>1.9900000000000001E-2</v>
      </c>
      <c r="L4" s="48">
        <v>0.13139999999999999</v>
      </c>
      <c r="N4" s="42"/>
    </row>
    <row r="5" spans="1:14" ht="16" x14ac:dyDescent="0.2">
      <c r="A5" s="2" t="s">
        <v>148</v>
      </c>
      <c r="B5" s="4">
        <v>2649</v>
      </c>
      <c r="C5" s="4">
        <v>2517</v>
      </c>
      <c r="E5" t="s">
        <v>139</v>
      </c>
      <c r="F5" s="15">
        <f>B18</f>
        <v>137012</v>
      </c>
      <c r="G5" s="15">
        <f>C18</f>
        <v>137100</v>
      </c>
      <c r="I5" t="s">
        <v>247</v>
      </c>
      <c r="J5" s="54">
        <f>F6/F9</f>
        <v>-8.2873382513000369</v>
      </c>
      <c r="K5" s="51">
        <v>2.37</v>
      </c>
      <c r="L5" s="47">
        <v>6.54</v>
      </c>
    </row>
    <row r="6" spans="1:14" ht="16" x14ac:dyDescent="0.2">
      <c r="A6" s="2" t="s">
        <v>151</v>
      </c>
      <c r="B6" s="4">
        <v>8317</v>
      </c>
      <c r="C6" s="4">
        <v>8634</v>
      </c>
      <c r="E6" t="s">
        <v>248</v>
      </c>
      <c r="F6" s="15">
        <f>AVERAGE(F5:G5)</f>
        <v>137056</v>
      </c>
      <c r="I6" t="s">
        <v>249</v>
      </c>
      <c r="J6" s="54">
        <f>F4/F3</f>
        <v>-2.8819703319022033E-2</v>
      </c>
      <c r="K6" s="51">
        <v>0.05</v>
      </c>
      <c r="L6" s="47">
        <v>0.1</v>
      </c>
      <c r="N6" s="43"/>
    </row>
    <row r="7" spans="1:14" ht="16" x14ac:dyDescent="0.2">
      <c r="A7" s="2" t="s">
        <v>154</v>
      </c>
      <c r="B7" s="4">
        <v>99</v>
      </c>
      <c r="C7" s="4">
        <v>154</v>
      </c>
      <c r="E7" t="s">
        <v>250</v>
      </c>
      <c r="F7" s="15">
        <f>B30</f>
        <v>154240</v>
      </c>
      <c r="G7" s="15">
        <f>C30</f>
        <v>152948</v>
      </c>
      <c r="I7" t="s">
        <v>251</v>
      </c>
      <c r="J7" s="54">
        <f>F3/F6</f>
        <v>0.56760740135419097</v>
      </c>
      <c r="K7" s="51">
        <v>0.43</v>
      </c>
      <c r="L7" s="47">
        <v>1.28</v>
      </c>
    </row>
    <row r="8" spans="1:14" ht="16" x14ac:dyDescent="0.2">
      <c r="A8" s="2" t="s">
        <v>157</v>
      </c>
      <c r="B8" s="4">
        <v>79741</v>
      </c>
      <c r="C8" s="4">
        <v>78151</v>
      </c>
      <c r="E8" t="s">
        <v>252</v>
      </c>
      <c r="F8" s="15">
        <f>B39</f>
        <v>-17228</v>
      </c>
      <c r="G8" s="15">
        <f>C39</f>
        <v>-15848</v>
      </c>
      <c r="I8" t="s">
        <v>253</v>
      </c>
      <c r="J8" s="55" t="s">
        <v>254</v>
      </c>
      <c r="K8" s="50">
        <v>3.56E-2</v>
      </c>
      <c r="L8" s="48">
        <v>0.34370000000000001</v>
      </c>
    </row>
    <row r="9" spans="1:14" ht="16" x14ac:dyDescent="0.2">
      <c r="A9" s="2" t="s">
        <v>160</v>
      </c>
      <c r="B9" s="4">
        <v>2504</v>
      </c>
      <c r="C9" s="4">
        <v>2847</v>
      </c>
      <c r="E9" t="s">
        <v>255</v>
      </c>
      <c r="F9" s="15">
        <f>AVERAGE(F8:G8)</f>
        <v>-16538</v>
      </c>
      <c r="I9" t="s">
        <v>256</v>
      </c>
      <c r="J9" s="52" t="s">
        <v>254</v>
      </c>
      <c r="K9" s="51">
        <v>0.04</v>
      </c>
      <c r="L9" s="47">
        <v>0.11</v>
      </c>
    </row>
    <row r="10" spans="1:14" ht="16" x14ac:dyDescent="0.2">
      <c r="A10" s="2" t="s">
        <v>163</v>
      </c>
      <c r="B10" s="4">
        <v>109275</v>
      </c>
      <c r="C10" s="4">
        <v>109523</v>
      </c>
      <c r="E10" t="s">
        <v>257</v>
      </c>
      <c r="F10" s="4">
        <v>-773</v>
      </c>
      <c r="I10" t="s">
        <v>258</v>
      </c>
      <c r="J10" s="52" t="s">
        <v>254</v>
      </c>
      <c r="K10" s="51">
        <v>0.8</v>
      </c>
      <c r="L10" s="47">
        <v>3.22</v>
      </c>
    </row>
    <row r="11" spans="1:14" ht="16" x14ac:dyDescent="0.2">
      <c r="A11" s="2" t="s">
        <v>166</v>
      </c>
      <c r="B11" s="4">
        <v>860</v>
      </c>
      <c r="C11" s="4">
        <v>1450</v>
      </c>
      <c r="E11" t="s">
        <v>259</v>
      </c>
      <c r="F11" s="4">
        <v>-237</v>
      </c>
    </row>
    <row r="12" spans="1:14" ht="16" x14ac:dyDescent="0.2">
      <c r="A12" s="2" t="s">
        <v>169</v>
      </c>
      <c r="B12" s="4">
        <v>10661</v>
      </c>
      <c r="C12" s="4">
        <v>10550</v>
      </c>
      <c r="E12" t="s">
        <v>260</v>
      </c>
      <c r="F12" s="15">
        <v>372</v>
      </c>
      <c r="K12" s="44"/>
    </row>
    <row r="13" spans="1:14" ht="16" x14ac:dyDescent="0.2">
      <c r="A13" s="2" t="s">
        <v>172</v>
      </c>
      <c r="B13" s="4">
        <v>8093</v>
      </c>
      <c r="C13" s="4">
        <v>8057</v>
      </c>
      <c r="E13" t="s">
        <v>261</v>
      </c>
      <c r="F13" s="15">
        <v>-1146</v>
      </c>
    </row>
    <row r="14" spans="1:14" ht="16" x14ac:dyDescent="0.2">
      <c r="A14" s="2" t="s">
        <v>173</v>
      </c>
      <c r="B14" s="4">
        <v>2094</v>
      </c>
      <c r="C14" s="4">
        <v>2311</v>
      </c>
    </row>
    <row r="15" spans="1:14" ht="16" x14ac:dyDescent="0.2">
      <c r="A15" s="2" t="s">
        <v>174</v>
      </c>
      <c r="B15" s="4">
        <v>59</v>
      </c>
      <c r="C15" s="4">
        <v>63</v>
      </c>
      <c r="E15" t="s">
        <v>262</v>
      </c>
      <c r="F15" s="15"/>
      <c r="G15" s="15"/>
    </row>
    <row r="16" spans="1:14" ht="16" x14ac:dyDescent="0.2">
      <c r="A16" s="2" t="s">
        <v>175</v>
      </c>
      <c r="B16" s="4">
        <v>1035</v>
      </c>
      <c r="C16" s="4">
        <v>983</v>
      </c>
      <c r="E16" t="s">
        <v>263</v>
      </c>
      <c r="F16" s="15"/>
    </row>
    <row r="17" spans="1:9" ht="16" x14ac:dyDescent="0.2">
      <c r="A17" s="2" t="s">
        <v>176</v>
      </c>
      <c r="B17" s="4">
        <v>4935</v>
      </c>
      <c r="C17" s="4">
        <v>4163</v>
      </c>
      <c r="H17" t="s">
        <v>264</v>
      </c>
      <c r="I17" t="s">
        <v>265</v>
      </c>
    </row>
    <row r="18" spans="1:9" ht="16" x14ac:dyDescent="0.2">
      <c r="A18" s="2" t="s">
        <v>177</v>
      </c>
      <c r="B18" s="4">
        <v>137012</v>
      </c>
      <c r="C18" s="4">
        <v>137100</v>
      </c>
      <c r="D18" t="s">
        <v>266</v>
      </c>
      <c r="E18">
        <v>32321</v>
      </c>
      <c r="H18">
        <f>F4/E18</f>
        <v>-6.9366665635345437E-2</v>
      </c>
      <c r="I18">
        <f>H18/J4</f>
        <v>4.240462856966059</v>
      </c>
    </row>
    <row r="19" spans="1:9" ht="16" x14ac:dyDescent="0.2">
      <c r="A19" s="1" t="s">
        <v>178</v>
      </c>
      <c r="B19" s="2" t="s">
        <v>5</v>
      </c>
      <c r="C19" s="2" t="s">
        <v>5</v>
      </c>
    </row>
    <row r="20" spans="1:9" ht="16" x14ac:dyDescent="0.2">
      <c r="A20" s="2" t="s">
        <v>179</v>
      </c>
      <c r="B20" s="4">
        <v>11964</v>
      </c>
      <c r="C20" s="4">
        <v>10200</v>
      </c>
    </row>
    <row r="21" spans="1:9" ht="16" x14ac:dyDescent="0.2">
      <c r="A21" s="2" t="s">
        <v>180</v>
      </c>
      <c r="B21" s="4">
        <v>22331</v>
      </c>
      <c r="C21" s="4">
        <v>21581</v>
      </c>
    </row>
    <row r="22" spans="1:9" ht="16" x14ac:dyDescent="0.2">
      <c r="A22" s="2" t="s">
        <v>181</v>
      </c>
      <c r="B22" s="4">
        <v>56328</v>
      </c>
      <c r="C22" s="4">
        <v>53081</v>
      </c>
    </row>
    <row r="23" spans="1:9" ht="16" x14ac:dyDescent="0.2">
      <c r="A23" s="2" t="s">
        <v>182</v>
      </c>
      <c r="B23" s="4">
        <v>5204</v>
      </c>
      <c r="C23" s="4">
        <v>5190</v>
      </c>
    </row>
    <row r="24" spans="1:9" ht="16" x14ac:dyDescent="0.2">
      <c r="A24" s="2" t="s">
        <v>183</v>
      </c>
      <c r="B24" s="4">
        <v>95827</v>
      </c>
      <c r="C24" s="4">
        <v>90052</v>
      </c>
    </row>
    <row r="25" spans="1:9" ht="16" x14ac:dyDescent="0.2">
      <c r="A25" s="2" t="s">
        <v>174</v>
      </c>
      <c r="B25" s="4">
        <v>229</v>
      </c>
      <c r="C25" s="4">
        <v>230</v>
      </c>
    </row>
    <row r="26" spans="1:9" ht="16" x14ac:dyDescent="0.2">
      <c r="A26" s="2" t="s">
        <v>184</v>
      </c>
      <c r="B26" s="4">
        <v>2233</v>
      </c>
      <c r="C26" s="4">
        <v>2503</v>
      </c>
    </row>
    <row r="27" spans="1:9" ht="16" x14ac:dyDescent="0.2">
      <c r="A27" s="2" t="s">
        <v>185</v>
      </c>
      <c r="B27" s="4">
        <v>6516</v>
      </c>
      <c r="C27" s="4">
        <v>6141</v>
      </c>
    </row>
    <row r="28" spans="1:9" ht="16" x14ac:dyDescent="0.2">
      <c r="A28" s="2" t="s">
        <v>186</v>
      </c>
      <c r="B28" s="4">
        <v>2332</v>
      </c>
      <c r="C28" s="4">
        <v>2211</v>
      </c>
    </row>
    <row r="29" spans="1:9" ht="16" x14ac:dyDescent="0.2">
      <c r="A29" s="2" t="s">
        <v>187</v>
      </c>
      <c r="B29" s="4">
        <v>47103</v>
      </c>
      <c r="C29" s="4">
        <v>51811</v>
      </c>
    </row>
    <row r="30" spans="1:9" ht="16" x14ac:dyDescent="0.2">
      <c r="A30" s="2" t="s">
        <v>188</v>
      </c>
      <c r="B30" s="4">
        <v>154240</v>
      </c>
      <c r="C30" s="4">
        <v>152948</v>
      </c>
    </row>
    <row r="31" spans="1:9" ht="16" x14ac:dyDescent="0.2">
      <c r="A31" s="1" t="s">
        <v>189</v>
      </c>
      <c r="B31" s="2" t="s">
        <v>5</v>
      </c>
      <c r="C31" s="2" t="s">
        <v>5</v>
      </c>
    </row>
    <row r="32" spans="1:9" ht="16" x14ac:dyDescent="0.2">
      <c r="A32" s="2" t="s">
        <v>190</v>
      </c>
      <c r="B32" s="4">
        <v>5061</v>
      </c>
      <c r="C32" s="4">
        <v>5061</v>
      </c>
    </row>
    <row r="33" spans="1:3" ht="16" x14ac:dyDescent="0.2">
      <c r="A33" s="2" t="s">
        <v>191</v>
      </c>
      <c r="B33" s="4">
        <v>10309</v>
      </c>
      <c r="C33" s="4">
        <v>9947</v>
      </c>
    </row>
    <row r="34" spans="1:3" ht="16" x14ac:dyDescent="0.2">
      <c r="A34" s="2" t="s">
        <v>193</v>
      </c>
      <c r="B34" s="4">
        <v>-49549</v>
      </c>
      <c r="C34" s="4">
        <v>-50814</v>
      </c>
    </row>
    <row r="35" spans="1:3" ht="16" x14ac:dyDescent="0.2">
      <c r="A35" s="2" t="s">
        <v>194</v>
      </c>
      <c r="B35" s="4">
        <v>27251</v>
      </c>
      <c r="C35" s="4">
        <v>29473</v>
      </c>
    </row>
    <row r="36" spans="1:3" ht="16" x14ac:dyDescent="0.2">
      <c r="A36" s="2" t="s">
        <v>195</v>
      </c>
      <c r="B36" s="4">
        <v>-10305</v>
      </c>
      <c r="C36" s="4">
        <v>-9550</v>
      </c>
    </row>
    <row r="37" spans="1:3" ht="16" x14ac:dyDescent="0.2">
      <c r="A37" s="2" t="s">
        <v>196</v>
      </c>
      <c r="B37" s="4">
        <v>-17233</v>
      </c>
      <c r="C37" s="4">
        <v>-15883</v>
      </c>
    </row>
    <row r="38" spans="1:3" ht="16" x14ac:dyDescent="0.2">
      <c r="A38" s="2" t="s">
        <v>197</v>
      </c>
      <c r="B38" s="4">
        <v>5</v>
      </c>
      <c r="C38" s="4">
        <v>35</v>
      </c>
    </row>
    <row r="39" spans="1:3" ht="16" x14ac:dyDescent="0.2">
      <c r="A39" s="14" t="s">
        <v>198</v>
      </c>
      <c r="B39" s="13">
        <v>-17228</v>
      </c>
      <c r="C39" s="13">
        <v>-15848</v>
      </c>
    </row>
    <row r="40" spans="1:3" ht="16" x14ac:dyDescent="0.2">
      <c r="A40" s="2" t="s">
        <v>199</v>
      </c>
      <c r="B40" s="5">
        <v>137012</v>
      </c>
      <c r="C40" s="5">
        <v>137100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06799-18A8-4E09-8FB9-A985C4E185EC}">
  <dimension ref="A1:L40"/>
  <sheetViews>
    <sheetView workbookViewId="0">
      <selection activeCell="A20" sqref="A20"/>
    </sheetView>
  </sheetViews>
  <sheetFormatPr baseColWidth="10" defaultColWidth="8.83203125" defaultRowHeight="15" x14ac:dyDescent="0.2"/>
  <cols>
    <col min="1" max="1" width="80" customWidth="1"/>
    <col min="2" max="3" width="14" customWidth="1"/>
    <col min="4" max="4" width="8.5" customWidth="1"/>
    <col min="5" max="5" width="16.83203125" customWidth="1"/>
    <col min="7" max="7" width="13.6640625" bestFit="1" customWidth="1"/>
  </cols>
  <sheetData>
    <row r="1" spans="1:12" ht="16" x14ac:dyDescent="0.2">
      <c r="A1" s="32" t="s">
        <v>138</v>
      </c>
      <c r="B1" s="33" t="s">
        <v>2</v>
      </c>
      <c r="C1" s="33" t="s">
        <v>75</v>
      </c>
    </row>
    <row r="2" spans="1:12" ht="16" x14ac:dyDescent="0.2">
      <c r="A2" s="17" t="s">
        <v>139</v>
      </c>
      <c r="B2" s="18" t="s">
        <v>5</v>
      </c>
      <c r="C2" s="18" t="s">
        <v>5</v>
      </c>
      <c r="E2" t="s">
        <v>267</v>
      </c>
      <c r="F2" t="s">
        <v>268</v>
      </c>
      <c r="G2" t="s">
        <v>269</v>
      </c>
    </row>
    <row r="3" spans="1:12" ht="16" x14ac:dyDescent="0.2">
      <c r="A3" s="18" t="s">
        <v>140</v>
      </c>
      <c r="B3" s="19">
        <v>12691</v>
      </c>
      <c r="C3" s="19">
        <v>14614</v>
      </c>
    </row>
    <row r="4" spans="1:12" ht="16" x14ac:dyDescent="0.2">
      <c r="A4" s="18" t="s">
        <v>142</v>
      </c>
      <c r="B4" s="20">
        <v>3274</v>
      </c>
      <c r="C4" s="20">
        <v>2606</v>
      </c>
      <c r="E4" s="27" t="s">
        <v>270</v>
      </c>
      <c r="F4" s="27" t="s">
        <v>271</v>
      </c>
      <c r="G4" s="28">
        <f>ABS(L4)/AVERAGE(B8,C8)</f>
        <v>0.75829047703493524</v>
      </c>
      <c r="J4" t="s">
        <v>272</v>
      </c>
      <c r="K4" t="s">
        <v>271</v>
      </c>
      <c r="L4">
        <v>-59864</v>
      </c>
    </row>
    <row r="5" spans="1:12" ht="16" x14ac:dyDescent="0.2">
      <c r="A5" s="18" t="s">
        <v>148</v>
      </c>
      <c r="B5" s="20">
        <v>2649</v>
      </c>
      <c r="C5" s="20">
        <v>2517</v>
      </c>
    </row>
    <row r="6" spans="1:12" ht="16" x14ac:dyDescent="0.2">
      <c r="A6" s="18" t="s">
        <v>151</v>
      </c>
      <c r="B6" s="20">
        <v>8317</v>
      </c>
      <c r="C6" s="20">
        <v>8634</v>
      </c>
    </row>
    <row r="7" spans="1:12" ht="16" x14ac:dyDescent="0.2">
      <c r="A7" s="18" t="s">
        <v>154</v>
      </c>
      <c r="B7" s="20">
        <v>99</v>
      </c>
      <c r="C7" s="20">
        <v>154</v>
      </c>
    </row>
    <row r="8" spans="1:12" ht="16" x14ac:dyDescent="0.2">
      <c r="A8" s="18" t="s">
        <v>157</v>
      </c>
      <c r="B8" s="20">
        <v>79741</v>
      </c>
      <c r="C8" s="20">
        <v>78151</v>
      </c>
    </row>
    <row r="9" spans="1:12" ht="16" x14ac:dyDescent="0.2">
      <c r="A9" s="18" t="s">
        <v>160</v>
      </c>
      <c r="B9" s="20">
        <v>2504</v>
      </c>
      <c r="C9" s="20">
        <v>2847</v>
      </c>
      <c r="E9" t="s">
        <v>273</v>
      </c>
      <c r="F9" t="s">
        <v>271</v>
      </c>
      <c r="G9">
        <v>77794</v>
      </c>
    </row>
    <row r="10" spans="1:12" ht="16" x14ac:dyDescent="0.2">
      <c r="A10" s="18" t="s">
        <v>163</v>
      </c>
      <c r="B10" s="20">
        <v>109275</v>
      </c>
      <c r="C10" s="20">
        <v>109523</v>
      </c>
    </row>
    <row r="11" spans="1:12" ht="16" x14ac:dyDescent="0.2">
      <c r="A11" s="18" t="s">
        <v>166</v>
      </c>
      <c r="B11" s="20">
        <v>860</v>
      </c>
      <c r="C11" s="20">
        <v>1450</v>
      </c>
      <c r="E11" t="s">
        <v>274</v>
      </c>
      <c r="G11" t="s">
        <v>271</v>
      </c>
      <c r="H11" t="s">
        <v>275</v>
      </c>
    </row>
    <row r="12" spans="1:12" ht="16" x14ac:dyDescent="0.2">
      <c r="A12" s="18" t="s">
        <v>169</v>
      </c>
      <c r="B12" s="20">
        <v>10661</v>
      </c>
      <c r="C12" s="20">
        <v>10550</v>
      </c>
      <c r="E12" s="27" t="s">
        <v>270</v>
      </c>
      <c r="F12" s="27"/>
      <c r="G12" s="27" t="s">
        <v>271</v>
      </c>
      <c r="H12" s="28">
        <f>G9/AVERAGE(B12,C12)</f>
        <v>7.3352505775305268</v>
      </c>
      <c r="I12" s="27"/>
    </row>
    <row r="13" spans="1:12" ht="16" x14ac:dyDescent="0.2">
      <c r="A13" s="18" t="s">
        <v>172</v>
      </c>
      <c r="B13" s="20">
        <v>8093</v>
      </c>
      <c r="C13" s="20">
        <v>8057</v>
      </c>
    </row>
    <row r="14" spans="1:12" ht="16" x14ac:dyDescent="0.2">
      <c r="A14" s="18" t="s">
        <v>173</v>
      </c>
      <c r="B14" s="20">
        <v>2094</v>
      </c>
      <c r="C14" s="20">
        <v>2311</v>
      </c>
    </row>
    <row r="15" spans="1:12" ht="16" x14ac:dyDescent="0.2">
      <c r="A15" s="18" t="s">
        <v>174</v>
      </c>
      <c r="B15" s="20">
        <v>59</v>
      </c>
      <c r="C15" s="20">
        <v>63</v>
      </c>
      <c r="J15" s="24"/>
    </row>
    <row r="16" spans="1:12" ht="16" x14ac:dyDescent="0.2">
      <c r="A16" s="18" t="s">
        <v>175</v>
      </c>
      <c r="B16" s="20">
        <v>1035</v>
      </c>
      <c r="C16" s="20">
        <v>983</v>
      </c>
      <c r="E16" t="s">
        <v>276</v>
      </c>
      <c r="F16" t="s">
        <v>271</v>
      </c>
      <c r="G16" t="s">
        <v>277</v>
      </c>
    </row>
    <row r="17" spans="1:10" ht="16" x14ac:dyDescent="0.2">
      <c r="A17" s="18" t="s">
        <v>176</v>
      </c>
      <c r="B17" s="20">
        <v>4935</v>
      </c>
      <c r="C17" s="20">
        <v>4163</v>
      </c>
    </row>
    <row r="18" spans="1:10" ht="16" x14ac:dyDescent="0.2">
      <c r="A18" s="18" t="s">
        <v>177</v>
      </c>
      <c r="B18" s="20">
        <v>137012</v>
      </c>
      <c r="C18" s="20">
        <v>137100</v>
      </c>
    </row>
    <row r="19" spans="1:10" ht="16" x14ac:dyDescent="0.2">
      <c r="A19" s="17" t="s">
        <v>178</v>
      </c>
      <c r="B19" s="18" t="s">
        <v>5</v>
      </c>
      <c r="C19" s="18" t="s">
        <v>5</v>
      </c>
    </row>
    <row r="20" spans="1:10" ht="16" x14ac:dyDescent="0.2">
      <c r="A20" s="18" t="s">
        <v>179</v>
      </c>
      <c r="B20" s="20">
        <v>11964</v>
      </c>
      <c r="C20" s="20">
        <v>10200</v>
      </c>
      <c r="E20" t="s">
        <v>278</v>
      </c>
      <c r="G20" t="s">
        <v>271</v>
      </c>
      <c r="H20">
        <v>-22245</v>
      </c>
    </row>
    <row r="21" spans="1:10" ht="16" x14ac:dyDescent="0.2">
      <c r="A21" s="18" t="s">
        <v>180</v>
      </c>
      <c r="B21" s="20">
        <v>22331</v>
      </c>
      <c r="C21" s="20">
        <v>21581</v>
      </c>
      <c r="H21">
        <v>2023</v>
      </c>
      <c r="J21">
        <v>2022</v>
      </c>
    </row>
    <row r="22" spans="1:10" ht="16" x14ac:dyDescent="0.2">
      <c r="A22" s="18" t="s">
        <v>181</v>
      </c>
      <c r="B22" s="20">
        <v>56328</v>
      </c>
      <c r="C22" s="20">
        <v>53081</v>
      </c>
      <c r="H22">
        <v>16055</v>
      </c>
      <c r="I22" s="15"/>
      <c r="J22">
        <v>15844</v>
      </c>
    </row>
    <row r="23" spans="1:10" ht="16" x14ac:dyDescent="0.2">
      <c r="A23" s="18" t="s">
        <v>182</v>
      </c>
      <c r="B23" s="20">
        <v>5204</v>
      </c>
      <c r="C23" s="20">
        <v>5190</v>
      </c>
      <c r="E23" t="s">
        <v>279</v>
      </c>
      <c r="H23" s="15"/>
      <c r="I23" s="15"/>
    </row>
    <row r="24" spans="1:10" ht="16" x14ac:dyDescent="0.2">
      <c r="A24" s="18" t="s">
        <v>183</v>
      </c>
      <c r="B24" s="20">
        <v>95827</v>
      </c>
      <c r="C24" s="20">
        <v>90052</v>
      </c>
    </row>
    <row r="25" spans="1:10" ht="16" x14ac:dyDescent="0.2">
      <c r="A25" s="18" t="s">
        <v>174</v>
      </c>
      <c r="B25" s="20">
        <v>229</v>
      </c>
      <c r="C25" s="20">
        <v>230</v>
      </c>
      <c r="E25" s="27" t="s">
        <v>270</v>
      </c>
      <c r="F25" s="27" t="s">
        <v>271</v>
      </c>
      <c r="G25" s="29">
        <f>ABS(H20)/AVERAGE(H22,J22)</f>
        <v>1.3947145678547916</v>
      </c>
    </row>
    <row r="26" spans="1:10" ht="16" x14ac:dyDescent="0.2">
      <c r="A26" s="18" t="s">
        <v>184</v>
      </c>
      <c r="B26" s="20">
        <v>2233</v>
      </c>
      <c r="C26" s="20">
        <v>2503</v>
      </c>
    </row>
    <row r="27" spans="1:10" ht="16" x14ac:dyDescent="0.2">
      <c r="A27" s="18" t="s">
        <v>185</v>
      </c>
      <c r="B27" s="20">
        <v>6516</v>
      </c>
      <c r="C27" s="20">
        <v>6141</v>
      </c>
    </row>
    <row r="28" spans="1:10" ht="16" x14ac:dyDescent="0.2">
      <c r="A28" s="18" t="s">
        <v>186</v>
      </c>
      <c r="B28" s="20">
        <v>2332</v>
      </c>
      <c r="C28" s="20">
        <v>2211</v>
      </c>
      <c r="E28" t="s">
        <v>280</v>
      </c>
      <c r="F28" t="s">
        <v>271</v>
      </c>
      <c r="G28" t="s">
        <v>281</v>
      </c>
    </row>
    <row r="29" spans="1:10" ht="16" x14ac:dyDescent="0.2">
      <c r="A29" s="18" t="s">
        <v>187</v>
      </c>
      <c r="B29" s="20">
        <v>47103</v>
      </c>
      <c r="C29" s="20">
        <v>51811</v>
      </c>
    </row>
    <row r="30" spans="1:10" ht="16" x14ac:dyDescent="0.2">
      <c r="A30" s="18" t="s">
        <v>188</v>
      </c>
      <c r="B30" s="20">
        <v>154240</v>
      </c>
      <c r="C30" s="20">
        <v>152948</v>
      </c>
      <c r="E30" t="s">
        <v>282</v>
      </c>
      <c r="H30" t="s">
        <v>271</v>
      </c>
      <c r="I30" t="s">
        <v>283</v>
      </c>
    </row>
    <row r="31" spans="1:10" ht="16" x14ac:dyDescent="0.2">
      <c r="A31" s="17" t="s">
        <v>189</v>
      </c>
      <c r="B31" s="18" t="s">
        <v>5</v>
      </c>
      <c r="C31" s="18" t="s">
        <v>5</v>
      </c>
    </row>
    <row r="32" spans="1:10" ht="16" x14ac:dyDescent="0.2">
      <c r="A32" s="18" t="s">
        <v>190</v>
      </c>
      <c r="B32" s="20">
        <v>5061</v>
      </c>
      <c r="C32" s="20">
        <v>5061</v>
      </c>
    </row>
    <row r="33" spans="1:3" ht="16" x14ac:dyDescent="0.2">
      <c r="A33" s="18" t="s">
        <v>191</v>
      </c>
      <c r="B33" s="20">
        <v>10309</v>
      </c>
      <c r="C33" s="20">
        <v>9947</v>
      </c>
    </row>
    <row r="34" spans="1:3" ht="16" x14ac:dyDescent="0.2">
      <c r="A34" s="18" t="s">
        <v>193</v>
      </c>
      <c r="B34" s="20">
        <v>-49549</v>
      </c>
      <c r="C34" s="20">
        <v>-50814</v>
      </c>
    </row>
    <row r="35" spans="1:3" ht="16" x14ac:dyDescent="0.2">
      <c r="A35" s="18" t="s">
        <v>194</v>
      </c>
      <c r="B35" s="20">
        <v>27251</v>
      </c>
      <c r="C35" s="20">
        <v>29473</v>
      </c>
    </row>
    <row r="36" spans="1:3" ht="16" x14ac:dyDescent="0.2">
      <c r="A36" s="18" t="s">
        <v>195</v>
      </c>
      <c r="B36" s="20">
        <v>-10305</v>
      </c>
      <c r="C36" s="20">
        <v>-9550</v>
      </c>
    </row>
    <row r="37" spans="1:3" ht="16" x14ac:dyDescent="0.2">
      <c r="A37" s="18" t="s">
        <v>196</v>
      </c>
      <c r="B37" s="20">
        <v>-17233</v>
      </c>
      <c r="C37" s="20">
        <v>-15883</v>
      </c>
    </row>
    <row r="38" spans="1:3" ht="16" x14ac:dyDescent="0.2">
      <c r="A38" s="18" t="s">
        <v>197</v>
      </c>
      <c r="B38" s="20">
        <v>5</v>
      </c>
      <c r="C38" s="20">
        <v>35</v>
      </c>
    </row>
    <row r="39" spans="1:3" ht="16" x14ac:dyDescent="0.2">
      <c r="A39" s="18" t="s">
        <v>198</v>
      </c>
      <c r="B39" s="20">
        <v>-17228</v>
      </c>
      <c r="C39" s="20">
        <v>-15848</v>
      </c>
    </row>
    <row r="40" spans="1:3" ht="16" x14ac:dyDescent="0.2">
      <c r="A40" s="18" t="s">
        <v>199</v>
      </c>
      <c r="B40" s="19">
        <v>137012</v>
      </c>
      <c r="C40" s="19">
        <v>137100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27BA3-A20D-4A0D-8D87-D2F8476F9AAD}">
  <dimension ref="A1:K40"/>
  <sheetViews>
    <sheetView topLeftCell="G9" workbookViewId="0">
      <selection activeCell="I22" sqref="I22"/>
    </sheetView>
  </sheetViews>
  <sheetFormatPr baseColWidth="10" defaultColWidth="8.83203125" defaultRowHeight="15" x14ac:dyDescent="0.2"/>
  <cols>
    <col min="1" max="1" width="80" customWidth="1"/>
    <col min="2" max="3" width="14" customWidth="1"/>
    <col min="4" max="4" width="14.1640625" customWidth="1"/>
    <col min="5" max="5" width="17.5" customWidth="1"/>
    <col min="6" max="6" width="12.33203125" customWidth="1"/>
    <col min="7" max="7" width="14.83203125" customWidth="1"/>
    <col min="8" max="8" width="36.1640625" customWidth="1"/>
    <col min="9" max="9" width="12" bestFit="1" customWidth="1"/>
    <col min="10" max="10" width="24.33203125" bestFit="1" customWidth="1"/>
    <col min="11" max="11" width="14.1640625" customWidth="1"/>
  </cols>
  <sheetData>
    <row r="1" spans="1:11" ht="16" x14ac:dyDescent="0.2">
      <c r="A1" s="11" t="s">
        <v>138</v>
      </c>
      <c r="B1" s="12" t="s">
        <v>2</v>
      </c>
      <c r="C1" s="12" t="s">
        <v>75</v>
      </c>
    </row>
    <row r="2" spans="1:11" ht="16" x14ac:dyDescent="0.2">
      <c r="A2" s="1" t="s">
        <v>139</v>
      </c>
      <c r="B2" s="2" t="s">
        <v>5</v>
      </c>
      <c r="C2" s="2" t="s">
        <v>5</v>
      </c>
      <c r="F2" t="str">
        <f>B1</f>
        <v>Dec. 31, 2023</v>
      </c>
      <c r="G2" t="str">
        <f>C1</f>
        <v>Dec. 31, 2022</v>
      </c>
    </row>
    <row r="3" spans="1:11" ht="16" x14ac:dyDescent="0.2">
      <c r="A3" s="2" t="s">
        <v>140</v>
      </c>
      <c r="B3" s="5">
        <v>12691</v>
      </c>
      <c r="C3" s="5">
        <v>14614</v>
      </c>
      <c r="E3" t="s">
        <v>243</v>
      </c>
      <c r="F3" s="5">
        <v>77794</v>
      </c>
      <c r="J3" s="25"/>
    </row>
    <row r="4" spans="1:11" ht="16" x14ac:dyDescent="0.2">
      <c r="A4" s="2" t="s">
        <v>142</v>
      </c>
      <c r="B4" s="4">
        <v>3274</v>
      </c>
      <c r="C4" s="4">
        <v>2606</v>
      </c>
      <c r="E4" t="s">
        <v>245</v>
      </c>
      <c r="F4" s="4">
        <v>-2242</v>
      </c>
      <c r="J4" s="42"/>
    </row>
    <row r="5" spans="1:11" ht="16" x14ac:dyDescent="0.2">
      <c r="A5" s="2" t="s">
        <v>148</v>
      </c>
      <c r="B5" s="4">
        <v>2649</v>
      </c>
      <c r="C5" s="4">
        <v>2517</v>
      </c>
      <c r="E5" t="s">
        <v>139</v>
      </c>
      <c r="F5" s="15">
        <f>B18</f>
        <v>137012</v>
      </c>
      <c r="G5" s="15">
        <f>C18</f>
        <v>137100</v>
      </c>
    </row>
    <row r="6" spans="1:11" ht="16" x14ac:dyDescent="0.2">
      <c r="A6" s="2" t="s">
        <v>151</v>
      </c>
      <c r="B6" s="4">
        <v>8317</v>
      </c>
      <c r="C6" s="4">
        <v>8634</v>
      </c>
      <c r="E6" t="s">
        <v>248</v>
      </c>
      <c r="F6" s="15">
        <f>AVERAGE(F5:G5)</f>
        <v>137056</v>
      </c>
      <c r="J6" s="43"/>
    </row>
    <row r="7" spans="1:11" ht="16" x14ac:dyDescent="0.2">
      <c r="A7" s="2" t="s">
        <v>154</v>
      </c>
      <c r="B7" s="4">
        <v>99</v>
      </c>
      <c r="C7" s="4">
        <v>154</v>
      </c>
      <c r="E7" t="s">
        <v>250</v>
      </c>
      <c r="F7" s="15">
        <f>B30</f>
        <v>154240</v>
      </c>
      <c r="G7" s="15">
        <f>C30</f>
        <v>152948</v>
      </c>
    </row>
    <row r="8" spans="1:11" ht="16" x14ac:dyDescent="0.2">
      <c r="A8" s="2" t="s">
        <v>157</v>
      </c>
      <c r="B8" s="4">
        <v>79741</v>
      </c>
      <c r="C8" s="4">
        <v>78151</v>
      </c>
      <c r="E8" t="s">
        <v>252</v>
      </c>
      <c r="F8" s="15">
        <f>B39</f>
        <v>-17228</v>
      </c>
      <c r="G8" s="15">
        <f>C39</f>
        <v>-15848</v>
      </c>
      <c r="J8" t="s">
        <v>284</v>
      </c>
    </row>
    <row r="9" spans="1:11" ht="16" x14ac:dyDescent="0.2">
      <c r="A9" s="2" t="s">
        <v>160</v>
      </c>
      <c r="B9" s="4">
        <v>2504</v>
      </c>
      <c r="C9" s="4">
        <v>2847</v>
      </c>
      <c r="E9" t="s">
        <v>255</v>
      </c>
      <c r="F9" s="15">
        <f>AVERAGE(F8:G8)</f>
        <v>-16538</v>
      </c>
    </row>
    <row r="10" spans="1:11" ht="16" x14ac:dyDescent="0.2">
      <c r="A10" s="2" t="s">
        <v>163</v>
      </c>
      <c r="B10" s="4">
        <v>109275</v>
      </c>
      <c r="C10" s="4">
        <v>109523</v>
      </c>
      <c r="E10" t="s">
        <v>257</v>
      </c>
      <c r="F10" s="4">
        <v>-773</v>
      </c>
    </row>
    <row r="11" spans="1:11" ht="16" x14ac:dyDescent="0.2">
      <c r="A11" s="2" t="s">
        <v>166</v>
      </c>
      <c r="B11" s="4">
        <v>860</v>
      </c>
      <c r="C11" s="4">
        <v>1450</v>
      </c>
      <c r="E11" t="s">
        <v>259</v>
      </c>
      <c r="F11" s="4">
        <v>-237</v>
      </c>
    </row>
    <row r="12" spans="1:11" ht="16" x14ac:dyDescent="0.2">
      <c r="A12" s="2" t="s">
        <v>169</v>
      </c>
      <c r="B12" s="4">
        <v>10661</v>
      </c>
      <c r="C12" s="4">
        <v>10550</v>
      </c>
      <c r="E12" t="s">
        <v>260</v>
      </c>
      <c r="F12" s="15">
        <v>372</v>
      </c>
      <c r="I12" t="s">
        <v>145</v>
      </c>
      <c r="J12" t="s">
        <v>242</v>
      </c>
      <c r="K12" t="s">
        <v>147</v>
      </c>
    </row>
    <row r="13" spans="1:11" ht="16" x14ac:dyDescent="0.2">
      <c r="A13" s="2" t="s">
        <v>172</v>
      </c>
      <c r="B13" s="4">
        <v>8093</v>
      </c>
      <c r="C13" s="4">
        <v>8057</v>
      </c>
      <c r="E13" t="s">
        <v>261</v>
      </c>
      <c r="F13" s="15">
        <v>-1146</v>
      </c>
      <c r="H13" t="s">
        <v>285</v>
      </c>
      <c r="J13">
        <v>466.68</v>
      </c>
      <c r="K13" s="58">
        <v>103.23</v>
      </c>
    </row>
    <row r="14" spans="1:11" ht="16" x14ac:dyDescent="0.2">
      <c r="A14" s="2" t="s">
        <v>173</v>
      </c>
      <c r="B14" s="4">
        <v>2094</v>
      </c>
      <c r="C14" s="4">
        <v>2311</v>
      </c>
      <c r="H14" t="s">
        <v>286</v>
      </c>
      <c r="I14">
        <v>32321</v>
      </c>
      <c r="J14">
        <v>6835</v>
      </c>
      <c r="K14">
        <v>61410</v>
      </c>
    </row>
    <row r="15" spans="1:11" ht="16" x14ac:dyDescent="0.2">
      <c r="A15" s="2" t="s">
        <v>174</v>
      </c>
      <c r="B15" s="4">
        <v>59</v>
      </c>
      <c r="C15" s="4">
        <v>63</v>
      </c>
      <c r="E15" t="s">
        <v>262</v>
      </c>
      <c r="F15" s="15"/>
      <c r="G15" s="15"/>
      <c r="H15" t="s">
        <v>287</v>
      </c>
      <c r="J15" s="26">
        <f>J13*J17</f>
        <v>111975.1992</v>
      </c>
      <c r="K15" s="26">
        <f>K13*K17</f>
        <v>137244904.38</v>
      </c>
    </row>
    <row r="16" spans="1:11" ht="16" x14ac:dyDescent="0.2">
      <c r="A16" s="2" t="s">
        <v>175</v>
      </c>
      <c r="B16" s="4">
        <v>1035</v>
      </c>
      <c r="C16" s="4">
        <v>983</v>
      </c>
      <c r="E16" t="s">
        <v>263</v>
      </c>
      <c r="F16" s="15"/>
      <c r="H16" t="s">
        <v>288</v>
      </c>
    </row>
    <row r="17" spans="1:11" ht="16" x14ac:dyDescent="0.2">
      <c r="A17" s="2" t="s">
        <v>176</v>
      </c>
      <c r="B17" s="4">
        <v>4935</v>
      </c>
      <c r="C17" s="4">
        <v>4163</v>
      </c>
      <c r="H17" t="s">
        <v>289</v>
      </c>
      <c r="I17">
        <v>613.88</v>
      </c>
      <c r="J17">
        <v>239.94</v>
      </c>
      <c r="K17">
        <v>1329506</v>
      </c>
    </row>
    <row r="18" spans="1:11" ht="16" x14ac:dyDescent="0.2">
      <c r="A18" s="2" t="s">
        <v>177</v>
      </c>
      <c r="B18" s="4">
        <v>137012</v>
      </c>
      <c r="C18" s="4">
        <v>137100</v>
      </c>
      <c r="D18" t="s">
        <v>266</v>
      </c>
      <c r="E18">
        <v>32321</v>
      </c>
      <c r="H18" t="s">
        <v>290</v>
      </c>
      <c r="I18" s="51">
        <f>AVERAGE(J18:K18)</f>
        <v>1125.6388291632518</v>
      </c>
      <c r="J18" s="26">
        <f>J15/J14</f>
        <v>16.382618756400877</v>
      </c>
      <c r="K18" s="26">
        <f>K15/K14</f>
        <v>2234.8950395701027</v>
      </c>
    </row>
    <row r="19" spans="1:11" ht="16" x14ac:dyDescent="0.2">
      <c r="A19" s="1" t="s">
        <v>178</v>
      </c>
      <c r="B19" s="2" t="s">
        <v>5</v>
      </c>
      <c r="C19" s="2" t="s">
        <v>5</v>
      </c>
      <c r="H19" t="s">
        <v>291</v>
      </c>
      <c r="I19" s="26">
        <f>I18*I14</f>
        <v>36381772.597385459</v>
      </c>
    </row>
    <row r="20" spans="1:11" ht="16" x14ac:dyDescent="0.2">
      <c r="A20" s="2" t="s">
        <v>179</v>
      </c>
      <c r="B20" s="4">
        <v>11964</v>
      </c>
      <c r="C20" s="4">
        <v>10200</v>
      </c>
      <c r="H20" t="s">
        <v>292</v>
      </c>
      <c r="I20" s="26">
        <f>I19/I17</f>
        <v>59265.284090352281</v>
      </c>
    </row>
    <row r="21" spans="1:11" ht="16" x14ac:dyDescent="0.2">
      <c r="A21" s="2" t="s">
        <v>180</v>
      </c>
      <c r="B21" s="4">
        <v>22331</v>
      </c>
      <c r="C21" s="4">
        <v>21581</v>
      </c>
    </row>
    <row r="22" spans="1:11" ht="16" x14ac:dyDescent="0.2">
      <c r="A22" s="2" t="s">
        <v>181</v>
      </c>
      <c r="B22" s="4">
        <v>56328</v>
      </c>
      <c r="C22" s="4">
        <v>53081</v>
      </c>
    </row>
    <row r="23" spans="1:11" ht="16" x14ac:dyDescent="0.2">
      <c r="A23" s="2" t="s">
        <v>182</v>
      </c>
      <c r="B23" s="4">
        <v>5204</v>
      </c>
      <c r="C23" s="4">
        <v>5190</v>
      </c>
    </row>
    <row r="24" spans="1:11" ht="16" x14ac:dyDescent="0.2">
      <c r="A24" s="2" t="s">
        <v>183</v>
      </c>
      <c r="B24" s="4">
        <v>95827</v>
      </c>
      <c r="C24" s="4">
        <v>90052</v>
      </c>
    </row>
    <row r="25" spans="1:11" ht="16" x14ac:dyDescent="0.2">
      <c r="A25" s="2" t="s">
        <v>174</v>
      </c>
      <c r="B25" s="4">
        <v>229</v>
      </c>
      <c r="C25" s="4">
        <v>230</v>
      </c>
    </row>
    <row r="26" spans="1:11" ht="16" x14ac:dyDescent="0.2">
      <c r="A26" s="2" t="s">
        <v>184</v>
      </c>
      <c r="B26" s="4">
        <v>2233</v>
      </c>
      <c r="C26" s="4">
        <v>2503</v>
      </c>
    </row>
    <row r="27" spans="1:11" ht="16" x14ac:dyDescent="0.2">
      <c r="A27" s="2" t="s">
        <v>185</v>
      </c>
      <c r="B27" s="4">
        <v>6516</v>
      </c>
      <c r="C27" s="4">
        <v>6141</v>
      </c>
    </row>
    <row r="28" spans="1:11" ht="16" x14ac:dyDescent="0.2">
      <c r="A28" s="2" t="s">
        <v>186</v>
      </c>
      <c r="B28" s="4">
        <v>2332</v>
      </c>
      <c r="C28" s="4">
        <v>2211</v>
      </c>
    </row>
    <row r="29" spans="1:11" ht="16" x14ac:dyDescent="0.2">
      <c r="A29" s="2" t="s">
        <v>187</v>
      </c>
      <c r="B29" s="4">
        <v>47103</v>
      </c>
      <c r="C29" s="4">
        <v>51811</v>
      </c>
    </row>
    <row r="30" spans="1:11" ht="16" x14ac:dyDescent="0.2">
      <c r="A30" s="2" t="s">
        <v>188</v>
      </c>
      <c r="B30" s="4">
        <v>154240</v>
      </c>
      <c r="C30" s="4">
        <v>152948</v>
      </c>
    </row>
    <row r="31" spans="1:11" ht="16" x14ac:dyDescent="0.2">
      <c r="A31" s="1" t="s">
        <v>189</v>
      </c>
      <c r="B31" s="2" t="s">
        <v>5</v>
      </c>
      <c r="C31" s="2" t="s">
        <v>5</v>
      </c>
    </row>
    <row r="32" spans="1:11" ht="16" x14ac:dyDescent="0.2">
      <c r="A32" s="2" t="s">
        <v>190</v>
      </c>
      <c r="B32" s="4">
        <v>5061</v>
      </c>
      <c r="C32" s="4">
        <v>5061</v>
      </c>
    </row>
    <row r="33" spans="1:3" ht="16" x14ac:dyDescent="0.2">
      <c r="A33" s="2" t="s">
        <v>191</v>
      </c>
      <c r="B33" s="4">
        <v>10309</v>
      </c>
      <c r="C33" s="4">
        <v>9947</v>
      </c>
    </row>
    <row r="34" spans="1:3" ht="16" x14ac:dyDescent="0.2">
      <c r="A34" s="2" t="s">
        <v>193</v>
      </c>
      <c r="B34" s="4">
        <v>-49549</v>
      </c>
      <c r="C34" s="4">
        <v>-50814</v>
      </c>
    </row>
    <row r="35" spans="1:3" ht="16" x14ac:dyDescent="0.2">
      <c r="A35" s="2" t="s">
        <v>194</v>
      </c>
      <c r="B35" s="4">
        <v>27251</v>
      </c>
      <c r="C35" s="4">
        <v>29473</v>
      </c>
    </row>
    <row r="36" spans="1:3" ht="16" x14ac:dyDescent="0.2">
      <c r="A36" s="2" t="s">
        <v>195</v>
      </c>
      <c r="B36" s="4">
        <v>-10305</v>
      </c>
      <c r="C36" s="4">
        <v>-9550</v>
      </c>
    </row>
    <row r="37" spans="1:3" ht="16" x14ac:dyDescent="0.2">
      <c r="A37" s="2" t="s">
        <v>196</v>
      </c>
      <c r="B37" s="4">
        <v>-17233</v>
      </c>
      <c r="C37" s="4">
        <v>-15883</v>
      </c>
    </row>
    <row r="38" spans="1:3" ht="16" x14ac:dyDescent="0.2">
      <c r="A38" s="2" t="s">
        <v>197</v>
      </c>
      <c r="B38" s="4">
        <v>5</v>
      </c>
      <c r="C38" s="4">
        <v>35</v>
      </c>
    </row>
    <row r="39" spans="1:3" ht="16" x14ac:dyDescent="0.2">
      <c r="A39" s="14" t="s">
        <v>198</v>
      </c>
      <c r="B39" s="13">
        <v>-17228</v>
      </c>
      <c r="C39" s="13">
        <v>-15848</v>
      </c>
    </row>
    <row r="40" spans="1:3" ht="16" x14ac:dyDescent="0.2">
      <c r="A40" s="2" t="s">
        <v>199</v>
      </c>
      <c r="B40" s="5">
        <v>137012</v>
      </c>
      <c r="C40" s="5">
        <v>137100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0"/>
  <sheetViews>
    <sheetView workbookViewId="0">
      <selection activeCell="A20" sqref="A20"/>
    </sheetView>
  </sheetViews>
  <sheetFormatPr baseColWidth="10" defaultColWidth="8.83203125" defaultRowHeight="15" x14ac:dyDescent="0.2"/>
  <cols>
    <col min="1" max="1" width="80" customWidth="1"/>
    <col min="2" max="3" width="14" customWidth="1"/>
    <col min="5" max="5" width="15.5" customWidth="1"/>
  </cols>
  <sheetData>
    <row r="1" spans="1:3" ht="16" x14ac:dyDescent="0.2">
      <c r="A1" s="11" t="s">
        <v>138</v>
      </c>
      <c r="B1" s="12" t="s">
        <v>2</v>
      </c>
      <c r="C1" s="12" t="s">
        <v>75</v>
      </c>
    </row>
    <row r="2" spans="1:3" ht="16" x14ac:dyDescent="0.2">
      <c r="A2" s="1" t="s">
        <v>139</v>
      </c>
      <c r="B2" s="2" t="s">
        <v>5</v>
      </c>
      <c r="C2" s="2" t="s">
        <v>5</v>
      </c>
    </row>
    <row r="3" spans="1:3" ht="16" x14ac:dyDescent="0.2">
      <c r="A3" s="2" t="s">
        <v>140</v>
      </c>
      <c r="B3" s="5">
        <v>12691</v>
      </c>
      <c r="C3" s="5">
        <v>14614</v>
      </c>
    </row>
    <row r="4" spans="1:3" ht="16" x14ac:dyDescent="0.2">
      <c r="A4" s="2" t="s">
        <v>142</v>
      </c>
      <c r="B4" s="4">
        <v>3274</v>
      </c>
      <c r="C4" s="4">
        <v>2606</v>
      </c>
    </row>
    <row r="5" spans="1:3" ht="16" x14ac:dyDescent="0.2">
      <c r="A5" s="2" t="s">
        <v>148</v>
      </c>
      <c r="B5" s="4">
        <v>2649</v>
      </c>
      <c r="C5" s="4">
        <v>2517</v>
      </c>
    </row>
    <row r="6" spans="1:3" ht="16" x14ac:dyDescent="0.2">
      <c r="A6" s="2" t="s">
        <v>151</v>
      </c>
      <c r="B6" s="4">
        <v>8317</v>
      </c>
      <c r="C6" s="4">
        <v>8634</v>
      </c>
    </row>
    <row r="7" spans="1:3" ht="16" x14ac:dyDescent="0.2">
      <c r="A7" s="2" t="s">
        <v>154</v>
      </c>
      <c r="B7" s="4">
        <v>99</v>
      </c>
      <c r="C7" s="4">
        <v>154</v>
      </c>
    </row>
    <row r="8" spans="1:3" ht="16" x14ac:dyDescent="0.2">
      <c r="A8" s="16" t="s">
        <v>157</v>
      </c>
      <c r="B8" s="4">
        <v>79741</v>
      </c>
      <c r="C8" s="4">
        <v>78151</v>
      </c>
    </row>
    <row r="9" spans="1:3" ht="16" x14ac:dyDescent="0.2">
      <c r="A9" s="2" t="s">
        <v>160</v>
      </c>
      <c r="B9" s="4">
        <v>2504</v>
      </c>
      <c r="C9" s="4">
        <v>2847</v>
      </c>
    </row>
    <row r="10" spans="1:3" ht="16" x14ac:dyDescent="0.2">
      <c r="A10" s="2" t="s">
        <v>163</v>
      </c>
      <c r="B10" s="4">
        <v>109275</v>
      </c>
      <c r="C10" s="4">
        <v>109523</v>
      </c>
    </row>
    <row r="11" spans="1:3" ht="16" x14ac:dyDescent="0.2">
      <c r="A11" s="2" t="s">
        <v>166</v>
      </c>
      <c r="B11" s="4">
        <v>860</v>
      </c>
      <c r="C11" s="4">
        <v>1450</v>
      </c>
    </row>
    <row r="12" spans="1:3" ht="16" x14ac:dyDescent="0.2">
      <c r="A12" s="16" t="s">
        <v>169</v>
      </c>
      <c r="B12" s="4">
        <v>10661</v>
      </c>
      <c r="C12" s="4">
        <v>10550</v>
      </c>
    </row>
    <row r="13" spans="1:3" ht="16" x14ac:dyDescent="0.2">
      <c r="A13" s="16" t="s">
        <v>172</v>
      </c>
      <c r="B13" s="4">
        <v>8093</v>
      </c>
      <c r="C13" s="4">
        <v>8057</v>
      </c>
    </row>
    <row r="14" spans="1:3" ht="16" x14ac:dyDescent="0.2">
      <c r="A14" s="16" t="s">
        <v>173</v>
      </c>
      <c r="B14" s="4">
        <v>2094</v>
      </c>
      <c r="C14" s="4">
        <v>2311</v>
      </c>
    </row>
    <row r="15" spans="1:3" ht="16" x14ac:dyDescent="0.2">
      <c r="A15" s="2" t="s">
        <v>174</v>
      </c>
      <c r="B15" s="4">
        <v>59</v>
      </c>
      <c r="C15" s="4">
        <v>63</v>
      </c>
    </row>
    <row r="16" spans="1:3" ht="16" x14ac:dyDescent="0.2">
      <c r="A16" s="2" t="s">
        <v>175</v>
      </c>
      <c r="B16" s="4">
        <v>1035</v>
      </c>
      <c r="C16" s="4">
        <v>983</v>
      </c>
    </row>
    <row r="17" spans="1:3" ht="16" x14ac:dyDescent="0.2">
      <c r="A17" s="2" t="s">
        <v>176</v>
      </c>
      <c r="B17" s="4">
        <v>4935</v>
      </c>
      <c r="C17" s="4">
        <v>4163</v>
      </c>
    </row>
    <row r="18" spans="1:3" ht="16" x14ac:dyDescent="0.2">
      <c r="A18" s="2" t="s">
        <v>177</v>
      </c>
      <c r="B18" s="4">
        <v>137012</v>
      </c>
      <c r="C18" s="4">
        <v>137100</v>
      </c>
    </row>
    <row r="19" spans="1:3" ht="16" x14ac:dyDescent="0.2">
      <c r="A19" s="1" t="s">
        <v>178</v>
      </c>
      <c r="B19" s="2" t="s">
        <v>5</v>
      </c>
      <c r="C19" s="2" t="s">
        <v>5</v>
      </c>
    </row>
    <row r="20" spans="1:3" ht="16" x14ac:dyDescent="0.2">
      <c r="A20" s="2" t="s">
        <v>179</v>
      </c>
      <c r="B20" s="4">
        <v>11964</v>
      </c>
      <c r="C20" s="4">
        <v>10200</v>
      </c>
    </row>
    <row r="21" spans="1:3" ht="16" x14ac:dyDescent="0.2">
      <c r="A21" s="2" t="s">
        <v>180</v>
      </c>
      <c r="B21" s="4">
        <v>22331</v>
      </c>
      <c r="C21" s="4">
        <v>21581</v>
      </c>
    </row>
    <row r="22" spans="1:3" ht="16" x14ac:dyDescent="0.2">
      <c r="A22" s="2" t="s">
        <v>181</v>
      </c>
      <c r="B22" s="4">
        <v>56328</v>
      </c>
      <c r="C22" s="4">
        <v>53081</v>
      </c>
    </row>
    <row r="23" spans="1:3" ht="16" x14ac:dyDescent="0.2">
      <c r="A23" s="2" t="s">
        <v>182</v>
      </c>
      <c r="B23" s="4">
        <v>5204</v>
      </c>
      <c r="C23" s="4">
        <v>5190</v>
      </c>
    </row>
    <row r="24" spans="1:3" ht="16" x14ac:dyDescent="0.2">
      <c r="A24" s="2" t="s">
        <v>183</v>
      </c>
      <c r="B24" s="4">
        <v>95827</v>
      </c>
      <c r="C24" s="4">
        <v>90052</v>
      </c>
    </row>
    <row r="25" spans="1:3" ht="16" x14ac:dyDescent="0.2">
      <c r="A25" s="2" t="s">
        <v>174</v>
      </c>
      <c r="B25" s="4">
        <v>229</v>
      </c>
      <c r="C25" s="4">
        <v>230</v>
      </c>
    </row>
    <row r="26" spans="1:3" ht="16" x14ac:dyDescent="0.2">
      <c r="A26" s="2" t="s">
        <v>184</v>
      </c>
      <c r="B26" s="4">
        <v>2233</v>
      </c>
      <c r="C26" s="4">
        <v>2503</v>
      </c>
    </row>
    <row r="27" spans="1:3" ht="16" x14ac:dyDescent="0.2">
      <c r="A27" s="2" t="s">
        <v>185</v>
      </c>
      <c r="B27" s="4">
        <v>6516</v>
      </c>
      <c r="C27" s="4">
        <v>6141</v>
      </c>
    </row>
    <row r="28" spans="1:3" ht="16" x14ac:dyDescent="0.2">
      <c r="A28" s="2" t="s">
        <v>186</v>
      </c>
      <c r="B28" s="4">
        <v>2332</v>
      </c>
      <c r="C28" s="4">
        <v>2211</v>
      </c>
    </row>
    <row r="29" spans="1:3" ht="16" x14ac:dyDescent="0.2">
      <c r="A29" s="2" t="s">
        <v>187</v>
      </c>
      <c r="B29" s="4">
        <v>47103</v>
      </c>
      <c r="C29" s="4">
        <v>51811</v>
      </c>
    </row>
    <row r="30" spans="1:3" ht="16" x14ac:dyDescent="0.2">
      <c r="A30" s="2" t="s">
        <v>188</v>
      </c>
      <c r="B30" s="4">
        <v>154240</v>
      </c>
      <c r="C30" s="4">
        <v>152948</v>
      </c>
    </row>
    <row r="31" spans="1:3" ht="16" x14ac:dyDescent="0.2">
      <c r="A31" s="1" t="s">
        <v>189</v>
      </c>
      <c r="B31" s="2" t="s">
        <v>5</v>
      </c>
      <c r="C31" s="2" t="s">
        <v>5</v>
      </c>
    </row>
    <row r="32" spans="1:3" ht="16" x14ac:dyDescent="0.2">
      <c r="A32" s="2" t="s">
        <v>190</v>
      </c>
      <c r="B32" s="4">
        <v>5061</v>
      </c>
      <c r="C32" s="4">
        <v>5061</v>
      </c>
    </row>
    <row r="33" spans="1:3" ht="16" x14ac:dyDescent="0.2">
      <c r="A33" s="2" t="s">
        <v>191</v>
      </c>
      <c r="B33" s="4">
        <v>10309</v>
      </c>
      <c r="C33" s="4">
        <v>9947</v>
      </c>
    </row>
    <row r="34" spans="1:3" ht="16" x14ac:dyDescent="0.2">
      <c r="A34" s="2" t="s">
        <v>193</v>
      </c>
      <c r="B34" s="4">
        <v>-49549</v>
      </c>
      <c r="C34" s="4">
        <v>-50814</v>
      </c>
    </row>
    <row r="35" spans="1:3" ht="16" x14ac:dyDescent="0.2">
      <c r="A35" s="2" t="s">
        <v>194</v>
      </c>
      <c r="B35" s="4">
        <v>27251</v>
      </c>
      <c r="C35" s="4">
        <v>29473</v>
      </c>
    </row>
    <row r="36" spans="1:3" ht="16" x14ac:dyDescent="0.2">
      <c r="A36" s="2" t="s">
        <v>195</v>
      </c>
      <c r="B36" s="4">
        <v>-10305</v>
      </c>
      <c r="C36" s="4">
        <v>-9550</v>
      </c>
    </row>
    <row r="37" spans="1:3" ht="16" x14ac:dyDescent="0.2">
      <c r="A37" s="2" t="s">
        <v>196</v>
      </c>
      <c r="B37" s="4">
        <v>-17233</v>
      </c>
      <c r="C37" s="4">
        <v>-15883</v>
      </c>
    </row>
    <row r="38" spans="1:3" ht="16" x14ac:dyDescent="0.2">
      <c r="A38" s="2" t="s">
        <v>197</v>
      </c>
      <c r="B38" s="4">
        <v>5</v>
      </c>
      <c r="C38" s="4">
        <v>35</v>
      </c>
    </row>
    <row r="39" spans="1:3" ht="16" x14ac:dyDescent="0.2">
      <c r="A39" s="2" t="s">
        <v>198</v>
      </c>
      <c r="B39" s="4">
        <v>-17228</v>
      </c>
      <c r="C39" s="4">
        <v>-15848</v>
      </c>
    </row>
    <row r="40" spans="1:3" ht="16" x14ac:dyDescent="0.2">
      <c r="A40" s="2" t="s">
        <v>199</v>
      </c>
      <c r="B40" s="5">
        <v>137012</v>
      </c>
      <c r="C40" s="5">
        <v>137100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sheetViews>
  <sheetFormatPr baseColWidth="10" defaultColWidth="8.83203125" defaultRowHeight="15" x14ac:dyDescent="0.2"/>
  <cols>
    <col min="1" max="1" width="80" customWidth="1"/>
    <col min="2" max="3" width="14" customWidth="1"/>
  </cols>
  <sheetData>
    <row r="1" spans="1:3" ht="16" x14ac:dyDescent="0.2">
      <c r="A1" s="11" t="s">
        <v>293</v>
      </c>
      <c r="B1" s="12" t="s">
        <v>2</v>
      </c>
      <c r="C1" s="12" t="s">
        <v>75</v>
      </c>
    </row>
    <row r="2" spans="1:3" ht="16" x14ac:dyDescent="0.2">
      <c r="A2" s="1" t="s">
        <v>294</v>
      </c>
      <c r="B2" s="2" t="s">
        <v>5</v>
      </c>
      <c r="C2" s="2" t="s">
        <v>5</v>
      </c>
    </row>
    <row r="3" spans="1:3" ht="16" x14ac:dyDescent="0.2">
      <c r="A3" s="2" t="s">
        <v>295</v>
      </c>
      <c r="B3" s="5">
        <v>1046</v>
      </c>
      <c r="C3" s="5">
        <v>949</v>
      </c>
    </row>
    <row r="4" spans="1:3" ht="16" x14ac:dyDescent="0.2">
      <c r="A4" s="2" t="s">
        <v>296</v>
      </c>
      <c r="B4" s="5">
        <v>5</v>
      </c>
      <c r="C4" s="5">
        <v>5</v>
      </c>
    </row>
    <row r="5" spans="1:3" ht="16" x14ac:dyDescent="0.2">
      <c r="A5" s="2" t="s">
        <v>297</v>
      </c>
      <c r="B5" s="4">
        <v>1200000000</v>
      </c>
      <c r="C5" s="4">
        <v>1200000000</v>
      </c>
    </row>
    <row r="6" spans="1:3" ht="16" x14ac:dyDescent="0.2">
      <c r="A6" s="2" t="s">
        <v>298</v>
      </c>
      <c r="B6" s="4">
        <v>1012261159</v>
      </c>
      <c r="C6" s="4">
        <v>1012261159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7"/>
  <sheetViews>
    <sheetView topLeftCell="A33" workbookViewId="0">
      <selection sqref="A1:A2"/>
    </sheetView>
  </sheetViews>
  <sheetFormatPr baseColWidth="10" defaultColWidth="8.83203125" defaultRowHeight="15" x14ac:dyDescent="0.2"/>
  <cols>
    <col min="1" max="1" width="73" customWidth="1"/>
    <col min="2" max="2" width="16" customWidth="1"/>
    <col min="3" max="4" width="14" customWidth="1"/>
  </cols>
  <sheetData>
    <row r="1" spans="1:4" x14ac:dyDescent="0.2">
      <c r="A1" s="59" t="s">
        <v>201</v>
      </c>
      <c r="B1" s="61" t="s">
        <v>1</v>
      </c>
      <c r="C1" s="60"/>
      <c r="D1" s="60"/>
    </row>
    <row r="2" spans="1:4" ht="16" x14ac:dyDescent="0.2">
      <c r="A2" s="60"/>
      <c r="B2" s="12" t="s">
        <v>2</v>
      </c>
      <c r="C2" s="12" t="s">
        <v>75</v>
      </c>
      <c r="D2" s="12" t="s">
        <v>76</v>
      </c>
    </row>
    <row r="3" spans="1:4" ht="16" x14ac:dyDescent="0.2">
      <c r="A3" s="1" t="s">
        <v>202</v>
      </c>
      <c r="B3" s="2" t="s">
        <v>5</v>
      </c>
      <c r="C3" s="2" t="s">
        <v>5</v>
      </c>
      <c r="D3" s="2" t="s">
        <v>5</v>
      </c>
    </row>
    <row r="4" spans="1:4" ht="16" x14ac:dyDescent="0.2">
      <c r="A4" s="2" t="s">
        <v>90</v>
      </c>
      <c r="B4" s="5">
        <v>-2242</v>
      </c>
      <c r="C4" s="5">
        <v>-5053</v>
      </c>
      <c r="D4" s="5">
        <v>-4290</v>
      </c>
    </row>
    <row r="5" spans="1:4" ht="16" x14ac:dyDescent="0.2">
      <c r="A5" s="1" t="s">
        <v>203</v>
      </c>
      <c r="B5" s="2" t="s">
        <v>5</v>
      </c>
      <c r="C5" s="2" t="s">
        <v>5</v>
      </c>
      <c r="D5" s="2" t="s">
        <v>5</v>
      </c>
    </row>
    <row r="6" spans="1:4" ht="16" x14ac:dyDescent="0.2">
      <c r="A6" s="2" t="s">
        <v>204</v>
      </c>
      <c r="B6" s="4">
        <v>690</v>
      </c>
      <c r="C6" s="4">
        <v>725</v>
      </c>
      <c r="D6" s="4">
        <v>833</v>
      </c>
    </row>
    <row r="7" spans="1:4" ht="16" x14ac:dyDescent="0.2">
      <c r="A7" s="2" t="s">
        <v>205</v>
      </c>
      <c r="B7" s="4">
        <v>1515</v>
      </c>
      <c r="C7" s="4">
        <v>1215</v>
      </c>
      <c r="D7" s="4">
        <v>1233</v>
      </c>
    </row>
    <row r="8" spans="1:4" ht="16" x14ac:dyDescent="0.2">
      <c r="A8" s="14" t="s">
        <v>206</v>
      </c>
      <c r="B8" s="4">
        <v>1861</v>
      </c>
      <c r="C8" s="4">
        <v>1979</v>
      </c>
      <c r="D8" s="4">
        <v>2144</v>
      </c>
    </row>
    <row r="9" spans="1:4" ht="16" x14ac:dyDescent="0.2">
      <c r="A9" s="2" t="s">
        <v>207</v>
      </c>
      <c r="B9" s="4">
        <v>46</v>
      </c>
      <c r="C9" s="4">
        <v>112</v>
      </c>
      <c r="D9" s="4">
        <v>98</v>
      </c>
    </row>
    <row r="10" spans="1:4" ht="16" x14ac:dyDescent="0.2">
      <c r="A10" s="2" t="s">
        <v>83</v>
      </c>
      <c r="B10" s="4">
        <v>-2</v>
      </c>
      <c r="C10" s="4">
        <v>-6</v>
      </c>
      <c r="D10" s="4">
        <v>-277</v>
      </c>
    </row>
    <row r="11" spans="1:4" ht="16" x14ac:dyDescent="0.2">
      <c r="A11" s="2" t="s">
        <v>208</v>
      </c>
      <c r="B11" s="2" t="s">
        <v>111</v>
      </c>
      <c r="C11" s="2" t="s">
        <v>111</v>
      </c>
      <c r="D11" s="4">
        <v>3460</v>
      </c>
    </row>
    <row r="12" spans="1:4" ht="16" x14ac:dyDescent="0.2">
      <c r="A12" s="2" t="s">
        <v>209</v>
      </c>
      <c r="B12" s="4">
        <v>3</v>
      </c>
      <c r="C12" s="4">
        <v>401</v>
      </c>
      <c r="D12" s="4">
        <v>360</v>
      </c>
    </row>
    <row r="13" spans="1:4" ht="16" x14ac:dyDescent="0.2">
      <c r="A13" s="1" t="s">
        <v>210</v>
      </c>
      <c r="B13" s="2" t="s">
        <v>5</v>
      </c>
      <c r="C13" s="2" t="s">
        <v>5</v>
      </c>
      <c r="D13" s="2" t="s">
        <v>5</v>
      </c>
    </row>
    <row r="14" spans="1:4" ht="16" x14ac:dyDescent="0.2">
      <c r="A14" s="2" t="s">
        <v>211</v>
      </c>
      <c r="B14" s="4">
        <v>-128</v>
      </c>
      <c r="C14" s="4">
        <v>142</v>
      </c>
      <c r="D14" s="4">
        <v>-713</v>
      </c>
    </row>
    <row r="15" spans="1:4" ht="16" x14ac:dyDescent="0.2">
      <c r="A15" s="2" t="s">
        <v>212</v>
      </c>
      <c r="B15" s="4">
        <v>321</v>
      </c>
      <c r="C15" s="4">
        <v>6</v>
      </c>
      <c r="D15" s="4">
        <v>-586</v>
      </c>
    </row>
    <row r="16" spans="1:4" ht="16" x14ac:dyDescent="0.2">
      <c r="A16" s="2" t="s">
        <v>181</v>
      </c>
      <c r="B16" s="4">
        <v>3365</v>
      </c>
      <c r="C16" s="4">
        <v>108</v>
      </c>
      <c r="D16" s="4">
        <v>2505</v>
      </c>
    </row>
    <row r="17" spans="1:4" ht="16" x14ac:dyDescent="0.2">
      <c r="A17" s="2" t="s">
        <v>157</v>
      </c>
      <c r="B17" s="4">
        <v>-1681</v>
      </c>
      <c r="C17" s="4">
        <v>420</v>
      </c>
      <c r="D17" s="4">
        <v>-1127</v>
      </c>
    </row>
    <row r="18" spans="1:4" ht="16" x14ac:dyDescent="0.2">
      <c r="A18" s="2" t="s">
        <v>213</v>
      </c>
      <c r="B18" s="4">
        <v>389</v>
      </c>
      <c r="C18" s="4">
        <v>-591</v>
      </c>
      <c r="D18" s="4">
        <v>345</v>
      </c>
    </row>
    <row r="19" spans="1:4" ht="16" x14ac:dyDescent="0.2">
      <c r="A19" s="2" t="s">
        <v>179</v>
      </c>
      <c r="B19" s="4">
        <v>1672</v>
      </c>
      <c r="C19" s="4">
        <v>838</v>
      </c>
      <c r="D19" s="4">
        <v>-3783</v>
      </c>
    </row>
    <row r="20" spans="1:4" ht="16" x14ac:dyDescent="0.2">
      <c r="A20" s="2" t="s">
        <v>180</v>
      </c>
      <c r="B20" s="4">
        <v>779</v>
      </c>
      <c r="C20" s="4">
        <v>2956</v>
      </c>
      <c r="D20" s="4">
        <v>-3687</v>
      </c>
    </row>
    <row r="21" spans="1:4" ht="16" x14ac:dyDescent="0.2">
      <c r="A21" s="2" t="s">
        <v>214</v>
      </c>
      <c r="B21" s="4">
        <v>44</v>
      </c>
      <c r="C21" s="4">
        <v>1347</v>
      </c>
      <c r="D21" s="4">
        <v>733</v>
      </c>
    </row>
    <row r="22" spans="1:4" ht="16" x14ac:dyDescent="0.2">
      <c r="A22" s="2" t="s">
        <v>186</v>
      </c>
      <c r="B22" s="4">
        <v>-313</v>
      </c>
      <c r="C22" s="4">
        <v>-158</v>
      </c>
      <c r="D22" s="4">
        <v>-206</v>
      </c>
    </row>
    <row r="23" spans="1:4" ht="16" x14ac:dyDescent="0.2">
      <c r="A23" s="2" t="s">
        <v>215</v>
      </c>
      <c r="B23" s="4">
        <v>-1049</v>
      </c>
      <c r="C23" s="4">
        <v>-1378</v>
      </c>
      <c r="D23" s="4">
        <v>-972</v>
      </c>
    </row>
    <row r="24" spans="1:4" ht="16" x14ac:dyDescent="0.2">
      <c r="A24" s="2" t="s">
        <v>166</v>
      </c>
      <c r="B24" s="4">
        <v>571</v>
      </c>
      <c r="C24" s="4">
        <v>142</v>
      </c>
      <c r="D24" s="4">
        <v>210</v>
      </c>
    </row>
    <row r="25" spans="1:4" ht="16" x14ac:dyDescent="0.2">
      <c r="A25" s="2" t="s">
        <v>216</v>
      </c>
      <c r="B25" s="4">
        <v>119</v>
      </c>
      <c r="C25" s="4">
        <v>307</v>
      </c>
      <c r="D25" s="4">
        <v>304</v>
      </c>
    </row>
    <row r="26" spans="1:4" ht="16" x14ac:dyDescent="0.2">
      <c r="A26" s="2" t="s">
        <v>217</v>
      </c>
      <c r="B26" s="4">
        <v>5960</v>
      </c>
      <c r="C26" s="4">
        <v>3512</v>
      </c>
      <c r="D26" s="4">
        <v>-3416</v>
      </c>
    </row>
    <row r="27" spans="1:4" ht="16" x14ac:dyDescent="0.2">
      <c r="A27" s="1" t="s">
        <v>218</v>
      </c>
      <c r="B27" s="2" t="s">
        <v>5</v>
      </c>
      <c r="C27" s="2" t="s">
        <v>5</v>
      </c>
      <c r="D27" s="2" t="s">
        <v>5</v>
      </c>
    </row>
    <row r="28" spans="1:4" ht="16" x14ac:dyDescent="0.2">
      <c r="A28" s="2" t="s">
        <v>219</v>
      </c>
      <c r="B28" s="4">
        <v>-1527</v>
      </c>
      <c r="C28" s="4">
        <v>-1222</v>
      </c>
      <c r="D28" s="4">
        <v>-980</v>
      </c>
    </row>
    <row r="29" spans="1:4" ht="16" x14ac:dyDescent="0.2">
      <c r="A29" s="2" t="s">
        <v>220</v>
      </c>
      <c r="B29" s="4">
        <v>27</v>
      </c>
      <c r="C29" s="4">
        <v>35</v>
      </c>
      <c r="D29" s="4">
        <v>529</v>
      </c>
    </row>
    <row r="30" spans="1:4" ht="16" x14ac:dyDescent="0.2">
      <c r="A30" s="2" t="s">
        <v>221</v>
      </c>
      <c r="B30" s="4">
        <v>-70</v>
      </c>
      <c r="C30" s="2" t="s">
        <v>111</v>
      </c>
      <c r="D30" s="4">
        <v>-6</v>
      </c>
    </row>
    <row r="31" spans="1:4" ht="16" x14ac:dyDescent="0.2">
      <c r="A31" s="2" t="s">
        <v>222</v>
      </c>
      <c r="B31" s="4">
        <v>-16448</v>
      </c>
      <c r="C31" s="4">
        <v>-5051</v>
      </c>
      <c r="D31" s="4">
        <v>-35713</v>
      </c>
    </row>
    <row r="32" spans="1:4" ht="16" x14ac:dyDescent="0.2">
      <c r="A32" s="2" t="s">
        <v>223</v>
      </c>
      <c r="B32" s="4">
        <v>15739</v>
      </c>
      <c r="C32" s="4">
        <v>10619</v>
      </c>
      <c r="D32" s="4">
        <v>45489</v>
      </c>
    </row>
    <row r="33" spans="1:4" ht="16" x14ac:dyDescent="0.2">
      <c r="A33" s="2" t="s">
        <v>216</v>
      </c>
      <c r="B33" s="4">
        <v>-158</v>
      </c>
      <c r="C33" s="4">
        <v>-11</v>
      </c>
      <c r="D33" s="4">
        <v>5</v>
      </c>
    </row>
    <row r="34" spans="1:4" ht="16" x14ac:dyDescent="0.2">
      <c r="A34" s="2" t="s">
        <v>224</v>
      </c>
      <c r="B34" s="4">
        <v>-2437</v>
      </c>
      <c r="C34" s="4">
        <v>4370</v>
      </c>
      <c r="D34" s="4">
        <v>9324</v>
      </c>
    </row>
    <row r="35" spans="1:4" ht="16" x14ac:dyDescent="0.2">
      <c r="A35" s="1" t="s">
        <v>225</v>
      </c>
      <c r="B35" s="2" t="s">
        <v>5</v>
      </c>
      <c r="C35" s="2" t="s">
        <v>5</v>
      </c>
      <c r="D35" s="2" t="s">
        <v>5</v>
      </c>
    </row>
    <row r="36" spans="1:4" ht="16" x14ac:dyDescent="0.2">
      <c r="A36" s="2" t="s">
        <v>226</v>
      </c>
      <c r="B36" s="4">
        <v>75</v>
      </c>
      <c r="C36" s="4">
        <v>34</v>
      </c>
      <c r="D36" s="4">
        <v>9795</v>
      </c>
    </row>
    <row r="37" spans="1:4" ht="16" x14ac:dyDescent="0.2">
      <c r="A37" s="2" t="s">
        <v>227</v>
      </c>
      <c r="B37" s="4">
        <v>-5216</v>
      </c>
      <c r="C37" s="4">
        <v>-1310</v>
      </c>
      <c r="D37" s="4">
        <v>-15371</v>
      </c>
    </row>
    <row r="38" spans="1:4" ht="16" x14ac:dyDescent="0.2">
      <c r="A38" s="2" t="s">
        <v>228</v>
      </c>
      <c r="B38" s="4">
        <v>45</v>
      </c>
      <c r="C38" s="4">
        <v>50</v>
      </c>
      <c r="D38" s="4">
        <v>42</v>
      </c>
    </row>
    <row r="39" spans="1:4" ht="16" x14ac:dyDescent="0.2">
      <c r="A39" s="2" t="s">
        <v>229</v>
      </c>
      <c r="B39" s="4">
        <v>-408</v>
      </c>
      <c r="C39" s="4">
        <v>-40</v>
      </c>
      <c r="D39" s="4">
        <v>-66</v>
      </c>
    </row>
    <row r="40" spans="1:4" ht="16" x14ac:dyDescent="0.2">
      <c r="A40" s="2" t="s">
        <v>216</v>
      </c>
      <c r="B40" s="4">
        <v>17</v>
      </c>
      <c r="C40" s="2" t="s">
        <v>111</v>
      </c>
      <c r="D40" s="2" t="s">
        <v>111</v>
      </c>
    </row>
    <row r="41" spans="1:4" ht="16" x14ac:dyDescent="0.2">
      <c r="A41" s="2" t="s">
        <v>230</v>
      </c>
      <c r="B41" s="4">
        <v>-5487</v>
      </c>
      <c r="C41" s="4">
        <v>-1266</v>
      </c>
      <c r="D41" s="4">
        <v>-5600</v>
      </c>
    </row>
    <row r="42" spans="1:4" ht="16" x14ac:dyDescent="0.2">
      <c r="A42" s="2" t="s">
        <v>231</v>
      </c>
      <c r="B42" s="4">
        <v>30</v>
      </c>
      <c r="C42" s="4">
        <v>-73</v>
      </c>
      <c r="D42" s="4">
        <v>-39</v>
      </c>
    </row>
    <row r="43" spans="1:4" ht="16" x14ac:dyDescent="0.2">
      <c r="A43" s="2" t="s">
        <v>232</v>
      </c>
      <c r="B43" s="4">
        <v>-1934</v>
      </c>
      <c r="C43" s="4">
        <v>6543</v>
      </c>
      <c r="D43" s="4">
        <v>269</v>
      </c>
    </row>
    <row r="44" spans="1:4" ht="16" x14ac:dyDescent="0.2">
      <c r="A44" s="2" t="s">
        <v>233</v>
      </c>
      <c r="B44" s="4">
        <v>14647</v>
      </c>
      <c r="C44" s="4">
        <v>8104</v>
      </c>
      <c r="D44" s="4">
        <v>7835</v>
      </c>
    </row>
    <row r="45" spans="1:4" ht="16" x14ac:dyDescent="0.2">
      <c r="A45" s="2" t="s">
        <v>234</v>
      </c>
      <c r="B45" s="4">
        <v>12713</v>
      </c>
      <c r="C45" s="4">
        <v>14647</v>
      </c>
      <c r="D45" s="4">
        <v>8104</v>
      </c>
    </row>
    <row r="46" spans="1:4" ht="16" x14ac:dyDescent="0.2">
      <c r="A46" s="2" t="s">
        <v>235</v>
      </c>
      <c r="B46" s="4">
        <v>22</v>
      </c>
      <c r="C46" s="4">
        <v>33</v>
      </c>
      <c r="D46" s="4">
        <v>52</v>
      </c>
    </row>
    <row r="47" spans="1:4" ht="16" x14ac:dyDescent="0.2">
      <c r="A47" s="2" t="s">
        <v>140</v>
      </c>
      <c r="B47" s="5">
        <v>12691</v>
      </c>
      <c r="C47" s="5">
        <v>14614</v>
      </c>
      <c r="D47" s="5">
        <v>8052</v>
      </c>
    </row>
  </sheetData>
  <mergeCells count="2">
    <mergeCell ref="A1:A2"/>
    <mergeCell ref="B1:D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8"/>
  <sheetViews>
    <sheetView workbookViewId="0">
      <selection activeCell="E30" sqref="E30"/>
    </sheetView>
  </sheetViews>
  <sheetFormatPr baseColWidth="10" defaultColWidth="8.83203125" defaultRowHeight="15" x14ac:dyDescent="0.2"/>
  <cols>
    <col min="1" max="1" width="59" customWidth="1"/>
    <col min="2" max="3" width="13" customWidth="1"/>
    <col min="4" max="4" width="27" customWidth="1"/>
    <col min="5" max="5" width="15" customWidth="1"/>
    <col min="6" max="6" width="18" customWidth="1"/>
    <col min="7" max="7" width="37" customWidth="1"/>
    <col min="8" max="8" width="27" customWidth="1"/>
  </cols>
  <sheetData>
    <row r="1" spans="1:8" ht="16" x14ac:dyDescent="0.2">
      <c r="A1" s="11" t="s">
        <v>299</v>
      </c>
      <c r="B1" s="12" t="s">
        <v>300</v>
      </c>
      <c r="C1" s="12" t="s">
        <v>301</v>
      </c>
      <c r="D1" s="12" t="s">
        <v>302</v>
      </c>
      <c r="E1" s="12" t="s">
        <v>303</v>
      </c>
      <c r="F1" s="12" t="s">
        <v>304</v>
      </c>
      <c r="G1" s="12" t="s">
        <v>305</v>
      </c>
      <c r="H1" s="12" t="s">
        <v>306</v>
      </c>
    </row>
    <row r="2" spans="1:8" ht="16" x14ac:dyDescent="0.2">
      <c r="A2" s="2" t="s">
        <v>307</v>
      </c>
      <c r="B2" s="5">
        <v>-18075</v>
      </c>
      <c r="C2" s="5">
        <v>5061</v>
      </c>
      <c r="D2" s="5">
        <v>7787</v>
      </c>
      <c r="E2" s="5">
        <v>-52641</v>
      </c>
      <c r="F2" s="5">
        <v>38610</v>
      </c>
      <c r="G2" s="5">
        <v>-17133</v>
      </c>
      <c r="H2" s="5">
        <v>241</v>
      </c>
    </row>
    <row r="3" spans="1:8" ht="16" x14ac:dyDescent="0.2">
      <c r="A3" s="1" t="s">
        <v>308</v>
      </c>
      <c r="B3" s="2" t="s">
        <v>5</v>
      </c>
      <c r="C3" s="2" t="s">
        <v>5</v>
      </c>
      <c r="D3" s="2" t="s">
        <v>5</v>
      </c>
      <c r="E3" s="2" t="s">
        <v>5</v>
      </c>
      <c r="F3" s="2" t="s">
        <v>5</v>
      </c>
      <c r="G3" s="2" t="s">
        <v>5</v>
      </c>
      <c r="H3" s="2" t="s">
        <v>5</v>
      </c>
    </row>
    <row r="4" spans="1:8" ht="16" x14ac:dyDescent="0.2">
      <c r="A4" s="2" t="s">
        <v>90</v>
      </c>
      <c r="B4" s="4">
        <v>-4290</v>
      </c>
      <c r="C4" s="2" t="s">
        <v>5</v>
      </c>
      <c r="D4" s="2" t="s">
        <v>5</v>
      </c>
      <c r="E4" s="2" t="s">
        <v>5</v>
      </c>
      <c r="F4" s="4">
        <v>-4202</v>
      </c>
      <c r="G4" s="2" t="s">
        <v>5</v>
      </c>
      <c r="H4" s="4">
        <v>-88</v>
      </c>
    </row>
    <row r="5" spans="1:8" ht="16" x14ac:dyDescent="0.2">
      <c r="A5" s="2" t="s">
        <v>309</v>
      </c>
      <c r="B5" s="4">
        <v>5474</v>
      </c>
      <c r="C5" s="2" t="s">
        <v>5</v>
      </c>
      <c r="D5" s="2" t="s">
        <v>5</v>
      </c>
      <c r="E5" s="2" t="s">
        <v>5</v>
      </c>
      <c r="F5" s="2" t="s">
        <v>5</v>
      </c>
      <c r="G5" s="4">
        <v>5474</v>
      </c>
      <c r="H5" s="2" t="s">
        <v>5</v>
      </c>
    </row>
    <row r="6" spans="1:8" ht="16" x14ac:dyDescent="0.2">
      <c r="A6" s="2" t="s">
        <v>310</v>
      </c>
      <c r="B6" s="4">
        <v>833</v>
      </c>
      <c r="C6" s="2" t="s">
        <v>5</v>
      </c>
      <c r="D6" s="4">
        <v>833</v>
      </c>
      <c r="E6" s="2" t="s">
        <v>5</v>
      </c>
      <c r="F6" s="2" t="s">
        <v>5</v>
      </c>
      <c r="G6" s="2" t="s">
        <v>5</v>
      </c>
      <c r="H6" s="2" t="s">
        <v>5</v>
      </c>
    </row>
    <row r="7" spans="1:8" ht="16" x14ac:dyDescent="0.2">
      <c r="A7" s="2" t="s">
        <v>311</v>
      </c>
      <c r="B7" s="4">
        <v>42</v>
      </c>
      <c r="C7" s="2" t="s">
        <v>5</v>
      </c>
      <c r="D7" s="4">
        <v>-28</v>
      </c>
      <c r="E7" s="4">
        <v>70</v>
      </c>
      <c r="F7" s="2" t="s">
        <v>5</v>
      </c>
      <c r="G7" s="2" t="s">
        <v>5</v>
      </c>
      <c r="H7" s="2" t="s">
        <v>5</v>
      </c>
    </row>
    <row r="8" spans="1:8" ht="16" x14ac:dyDescent="0.2">
      <c r="A8" s="2" t="s">
        <v>312</v>
      </c>
      <c r="B8" s="4">
        <v>-63</v>
      </c>
      <c r="C8" s="2" t="s">
        <v>5</v>
      </c>
      <c r="D8" s="4">
        <v>-98</v>
      </c>
      <c r="E8" s="4">
        <v>35</v>
      </c>
      <c r="F8" s="2" t="s">
        <v>5</v>
      </c>
      <c r="G8" s="2" t="s">
        <v>5</v>
      </c>
      <c r="H8" s="2" t="s">
        <v>5</v>
      </c>
    </row>
    <row r="9" spans="1:8" ht="16" x14ac:dyDescent="0.2">
      <c r="A9" s="2" t="s">
        <v>205</v>
      </c>
      <c r="B9" s="4">
        <v>1233</v>
      </c>
      <c r="C9" s="2" t="s">
        <v>5</v>
      </c>
      <c r="D9" s="4">
        <v>558</v>
      </c>
      <c r="E9" s="4">
        <v>675</v>
      </c>
      <c r="F9" s="2" t="s">
        <v>5</v>
      </c>
      <c r="G9" s="2" t="s">
        <v>5</v>
      </c>
      <c r="H9" s="2" t="s">
        <v>5</v>
      </c>
    </row>
    <row r="10" spans="1:8" ht="16" x14ac:dyDescent="0.2">
      <c r="A10" s="2" t="s">
        <v>313</v>
      </c>
      <c r="B10" s="4">
        <v>-14846</v>
      </c>
      <c r="C10" s="4">
        <v>5061</v>
      </c>
      <c r="D10" s="4">
        <v>9052</v>
      </c>
      <c r="E10" s="4">
        <v>-51861</v>
      </c>
      <c r="F10" s="4">
        <v>34408</v>
      </c>
      <c r="G10" s="4">
        <v>-11659</v>
      </c>
      <c r="H10" s="4">
        <v>153</v>
      </c>
    </row>
    <row r="11" spans="1:8" ht="16" x14ac:dyDescent="0.2">
      <c r="A11" s="1" t="s">
        <v>308</v>
      </c>
      <c r="B11" s="2" t="s">
        <v>5</v>
      </c>
      <c r="C11" s="2" t="s">
        <v>5</v>
      </c>
      <c r="D11" s="2" t="s">
        <v>5</v>
      </c>
      <c r="E11" s="2" t="s">
        <v>5</v>
      </c>
      <c r="F11" s="2" t="s">
        <v>5</v>
      </c>
      <c r="G11" s="2" t="s">
        <v>5</v>
      </c>
      <c r="H11" s="2" t="s">
        <v>5</v>
      </c>
    </row>
    <row r="12" spans="1:8" ht="16" x14ac:dyDescent="0.2">
      <c r="A12" s="2" t="s">
        <v>90</v>
      </c>
      <c r="B12" s="4">
        <v>-5053</v>
      </c>
      <c r="C12" s="2" t="s">
        <v>5</v>
      </c>
      <c r="D12" s="2" t="s">
        <v>5</v>
      </c>
      <c r="E12" s="2" t="s">
        <v>5</v>
      </c>
      <c r="F12" s="4">
        <v>-4935</v>
      </c>
      <c r="G12" s="2" t="s">
        <v>5</v>
      </c>
      <c r="H12" s="4">
        <v>-118</v>
      </c>
    </row>
    <row r="13" spans="1:8" ht="16" x14ac:dyDescent="0.2">
      <c r="A13" s="2" t="s">
        <v>309</v>
      </c>
      <c r="B13" s="4">
        <v>2109</v>
      </c>
      <c r="C13" s="2" t="s">
        <v>5</v>
      </c>
      <c r="D13" s="2" t="s">
        <v>5</v>
      </c>
      <c r="E13" s="2" t="s">
        <v>5</v>
      </c>
      <c r="F13" s="2" t="s">
        <v>5</v>
      </c>
      <c r="G13" s="4">
        <v>2109</v>
      </c>
      <c r="H13" s="2" t="s">
        <v>5</v>
      </c>
    </row>
    <row r="14" spans="1:8" ht="16" x14ac:dyDescent="0.2">
      <c r="A14" s="2" t="s">
        <v>310</v>
      </c>
      <c r="B14" s="4">
        <v>725</v>
      </c>
      <c r="C14" s="2" t="s">
        <v>5</v>
      </c>
      <c r="D14" s="4">
        <v>725</v>
      </c>
      <c r="E14" s="2" t="s">
        <v>5</v>
      </c>
      <c r="F14" s="2" t="s">
        <v>5</v>
      </c>
      <c r="G14" s="2" t="s">
        <v>5</v>
      </c>
      <c r="H14" s="2" t="s">
        <v>5</v>
      </c>
    </row>
    <row r="15" spans="1:8" ht="16" x14ac:dyDescent="0.2">
      <c r="A15" s="2" t="s">
        <v>311</v>
      </c>
      <c r="B15" s="4">
        <v>50</v>
      </c>
      <c r="C15" s="2" t="s">
        <v>5</v>
      </c>
      <c r="D15" s="4">
        <v>-31</v>
      </c>
      <c r="E15" s="4">
        <v>81</v>
      </c>
      <c r="F15" s="2" t="s">
        <v>5</v>
      </c>
      <c r="G15" s="2" t="s">
        <v>5</v>
      </c>
      <c r="H15" s="2" t="s">
        <v>5</v>
      </c>
    </row>
    <row r="16" spans="1:8" ht="16" x14ac:dyDescent="0.2">
      <c r="A16" s="2" t="s">
        <v>312</v>
      </c>
      <c r="B16" s="4">
        <v>-48</v>
      </c>
      <c r="C16" s="2" t="s">
        <v>5</v>
      </c>
      <c r="D16" s="4">
        <v>-94</v>
      </c>
      <c r="E16" s="4">
        <v>46</v>
      </c>
      <c r="F16" s="2" t="s">
        <v>5</v>
      </c>
      <c r="G16" s="2" t="s">
        <v>5</v>
      </c>
      <c r="H16" s="2" t="s">
        <v>5</v>
      </c>
    </row>
    <row r="17" spans="1:8" ht="16" x14ac:dyDescent="0.2">
      <c r="A17" s="2" t="s">
        <v>205</v>
      </c>
      <c r="B17" s="4">
        <v>1215</v>
      </c>
      <c r="C17" s="2" t="s">
        <v>5</v>
      </c>
      <c r="D17" s="4">
        <v>295</v>
      </c>
      <c r="E17" s="4">
        <v>920</v>
      </c>
      <c r="F17" s="2" t="s">
        <v>5</v>
      </c>
      <c r="G17" s="2" t="s">
        <v>5</v>
      </c>
      <c r="H17" s="2" t="s">
        <v>5</v>
      </c>
    </row>
    <row r="18" spans="1:8" ht="16" x14ac:dyDescent="0.2">
      <c r="A18" s="2" t="s">
        <v>314</v>
      </c>
      <c r="B18" s="4">
        <v>-15848</v>
      </c>
      <c r="C18" s="4">
        <v>5061</v>
      </c>
      <c r="D18" s="4">
        <v>9947</v>
      </c>
      <c r="E18" s="4">
        <v>-50814</v>
      </c>
      <c r="F18" s="4">
        <v>29473</v>
      </c>
      <c r="G18" s="4">
        <v>-9550</v>
      </c>
      <c r="H18" s="4">
        <v>35</v>
      </c>
    </row>
    <row r="19" spans="1:8" ht="16" x14ac:dyDescent="0.2">
      <c r="A19" s="1" t="s">
        <v>308</v>
      </c>
      <c r="B19" s="2" t="s">
        <v>5</v>
      </c>
      <c r="C19" s="2" t="s">
        <v>5</v>
      </c>
      <c r="D19" s="2" t="s">
        <v>5</v>
      </c>
      <c r="E19" s="2" t="s">
        <v>5</v>
      </c>
      <c r="F19" s="2" t="s">
        <v>5</v>
      </c>
      <c r="G19" s="2" t="s">
        <v>5</v>
      </c>
      <c r="H19" s="2" t="s">
        <v>5</v>
      </c>
    </row>
    <row r="20" spans="1:8" ht="16" x14ac:dyDescent="0.2">
      <c r="A20" s="2" t="s">
        <v>90</v>
      </c>
      <c r="B20" s="4">
        <v>-2242</v>
      </c>
      <c r="C20" s="2" t="s">
        <v>5</v>
      </c>
      <c r="D20" s="2" t="s">
        <v>5</v>
      </c>
      <c r="E20" s="2" t="s">
        <v>5</v>
      </c>
      <c r="F20" s="4">
        <v>-2222</v>
      </c>
      <c r="G20" s="2" t="s">
        <v>5</v>
      </c>
      <c r="H20" s="4">
        <v>-20</v>
      </c>
    </row>
    <row r="21" spans="1:8" ht="16" x14ac:dyDescent="0.2">
      <c r="A21" s="2" t="s">
        <v>309</v>
      </c>
      <c r="B21" s="4">
        <v>-755</v>
      </c>
      <c r="C21" s="2" t="s">
        <v>5</v>
      </c>
      <c r="D21" s="2" t="s">
        <v>5</v>
      </c>
      <c r="E21" s="2" t="s">
        <v>5</v>
      </c>
      <c r="F21" s="2" t="s">
        <v>5</v>
      </c>
      <c r="G21" s="4">
        <v>-755</v>
      </c>
      <c r="H21" s="2" t="s">
        <v>5</v>
      </c>
    </row>
    <row r="22" spans="1:8" ht="16" x14ac:dyDescent="0.2">
      <c r="A22" s="2" t="s">
        <v>310</v>
      </c>
      <c r="B22" s="4">
        <v>690</v>
      </c>
      <c r="C22" s="2" t="s">
        <v>5</v>
      </c>
      <c r="D22" s="4">
        <v>690</v>
      </c>
      <c r="E22" s="2" t="s">
        <v>5</v>
      </c>
      <c r="F22" s="2" t="s">
        <v>5</v>
      </c>
      <c r="G22" s="2" t="s">
        <v>5</v>
      </c>
      <c r="H22" s="2" t="s">
        <v>5</v>
      </c>
    </row>
    <row r="23" spans="1:8" ht="16" x14ac:dyDescent="0.2">
      <c r="A23" s="2" t="s">
        <v>311</v>
      </c>
      <c r="B23" s="4">
        <v>45</v>
      </c>
      <c r="C23" s="2" t="s">
        <v>5</v>
      </c>
      <c r="D23" s="4">
        <v>-28</v>
      </c>
      <c r="E23" s="4">
        <v>73</v>
      </c>
      <c r="F23" s="2" t="s">
        <v>5</v>
      </c>
      <c r="G23" s="2" t="s">
        <v>5</v>
      </c>
      <c r="H23" s="2" t="s">
        <v>5</v>
      </c>
    </row>
    <row r="24" spans="1:8" ht="16" x14ac:dyDescent="0.2">
      <c r="A24" s="2" t="s">
        <v>312</v>
      </c>
      <c r="B24" s="4">
        <v>-356</v>
      </c>
      <c r="C24" s="2" t="s">
        <v>5</v>
      </c>
      <c r="D24" s="4">
        <v>-660</v>
      </c>
      <c r="E24" s="4">
        <v>304</v>
      </c>
      <c r="F24" s="2" t="s">
        <v>5</v>
      </c>
      <c r="G24" s="2" t="s">
        <v>5</v>
      </c>
      <c r="H24" s="2" t="s">
        <v>5</v>
      </c>
    </row>
    <row r="25" spans="1:8" ht="16" x14ac:dyDescent="0.2">
      <c r="A25" s="2" t="s">
        <v>205</v>
      </c>
      <c r="B25" s="4">
        <v>1515</v>
      </c>
      <c r="C25" s="2" t="s">
        <v>5</v>
      </c>
      <c r="D25" s="4">
        <v>627</v>
      </c>
      <c r="E25" s="4">
        <v>888</v>
      </c>
      <c r="F25" s="2" t="s">
        <v>5</v>
      </c>
      <c r="G25" s="2" t="s">
        <v>5</v>
      </c>
      <c r="H25" s="2" t="s">
        <v>5</v>
      </c>
    </row>
    <row r="26" spans="1:8" ht="16" x14ac:dyDescent="0.2">
      <c r="A26" s="2" t="s">
        <v>315</v>
      </c>
      <c r="B26" s="4">
        <v>-267</v>
      </c>
      <c r="C26" s="2" t="s">
        <v>5</v>
      </c>
      <c r="D26" s="4">
        <v>-267</v>
      </c>
      <c r="E26" s="2" t="s">
        <v>5</v>
      </c>
      <c r="F26" s="2" t="s">
        <v>5</v>
      </c>
      <c r="G26" s="2" t="s">
        <v>5</v>
      </c>
      <c r="H26" s="2" t="s">
        <v>5</v>
      </c>
    </row>
    <row r="27" spans="1:8" ht="16" x14ac:dyDescent="0.2">
      <c r="A27" s="2" t="s">
        <v>316</v>
      </c>
      <c r="B27" s="4">
        <v>-10</v>
      </c>
      <c r="C27" s="2" t="s">
        <v>5</v>
      </c>
      <c r="D27" s="2" t="s">
        <v>5</v>
      </c>
      <c r="E27" s="2" t="s">
        <v>5</v>
      </c>
      <c r="F27" s="2" t="s">
        <v>5</v>
      </c>
      <c r="G27" s="2" t="s">
        <v>5</v>
      </c>
      <c r="H27" s="4">
        <v>-10</v>
      </c>
    </row>
    <row r="28" spans="1:8" ht="16" x14ac:dyDescent="0.2">
      <c r="A28" s="2" t="s">
        <v>317</v>
      </c>
      <c r="B28" s="5">
        <v>-17228</v>
      </c>
      <c r="C28" s="5">
        <v>5061</v>
      </c>
      <c r="D28" s="5">
        <v>10309</v>
      </c>
      <c r="E28" s="5">
        <v>-49549</v>
      </c>
      <c r="F28" s="5">
        <v>27251</v>
      </c>
      <c r="G28" s="5">
        <v>-10305</v>
      </c>
      <c r="H28" s="5">
        <v>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
  <sheetViews>
    <sheetView workbookViewId="0">
      <selection sqref="A1:A2"/>
    </sheetView>
  </sheetViews>
  <sheetFormatPr baseColWidth="10" defaultColWidth="8.83203125" defaultRowHeight="15" x14ac:dyDescent="0.2"/>
  <cols>
    <col min="1" max="1" width="74" customWidth="1"/>
    <col min="2" max="2" width="16" customWidth="1"/>
    <col min="3" max="4" width="14" customWidth="1"/>
  </cols>
  <sheetData>
    <row r="1" spans="1:4" x14ac:dyDescent="0.2">
      <c r="A1" s="59" t="s">
        <v>318</v>
      </c>
      <c r="B1" s="61" t="s">
        <v>1</v>
      </c>
      <c r="C1" s="60"/>
      <c r="D1" s="60"/>
    </row>
    <row r="2" spans="1:4" ht="16" x14ac:dyDescent="0.2">
      <c r="A2" s="60"/>
      <c r="B2" s="12" t="s">
        <v>2</v>
      </c>
      <c r="C2" s="12" t="s">
        <v>75</v>
      </c>
      <c r="D2" s="12" t="s">
        <v>76</v>
      </c>
    </row>
    <row r="3" spans="1:4" ht="16" x14ac:dyDescent="0.2">
      <c r="A3" s="1" t="s">
        <v>319</v>
      </c>
      <c r="B3" s="2" t="s">
        <v>5</v>
      </c>
      <c r="C3" s="2" t="s">
        <v>5</v>
      </c>
      <c r="D3" s="2" t="s">
        <v>5</v>
      </c>
    </row>
    <row r="4" spans="1:4" ht="16" x14ac:dyDescent="0.2">
      <c r="A4" s="2" t="s">
        <v>320</v>
      </c>
      <c r="B4" s="5">
        <v>4</v>
      </c>
      <c r="C4" s="5">
        <v>-22</v>
      </c>
      <c r="D4" s="5">
        <v>-57</v>
      </c>
    </row>
  </sheetData>
  <mergeCells count="2">
    <mergeCell ref="A1:A2"/>
    <mergeCell ref="B1:D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election sqref="A1:A2"/>
    </sheetView>
  </sheetViews>
  <sheetFormatPr baseColWidth="10" defaultColWidth="8.83203125" defaultRowHeight="15" x14ac:dyDescent="0.2"/>
  <cols>
    <col min="1" max="1" width="73" customWidth="1"/>
    <col min="2" max="2" width="80" customWidth="1"/>
  </cols>
  <sheetData>
    <row r="1" spans="1:2" ht="16" x14ac:dyDescent="0.2">
      <c r="A1" s="59" t="s">
        <v>321</v>
      </c>
      <c r="B1" s="12" t="s">
        <v>1</v>
      </c>
    </row>
    <row r="2" spans="1:2" ht="16" x14ac:dyDescent="0.2">
      <c r="A2" s="60"/>
      <c r="B2" s="12" t="s">
        <v>2</v>
      </c>
    </row>
    <row r="3" spans="1:2" ht="16" x14ac:dyDescent="0.2">
      <c r="A3" s="1" t="s">
        <v>322</v>
      </c>
      <c r="B3" s="2" t="s">
        <v>5</v>
      </c>
    </row>
    <row r="4" spans="1:2" ht="208" x14ac:dyDescent="0.2">
      <c r="A4" s="2" t="s">
        <v>321</v>
      </c>
      <c r="B4" s="2" t="s">
        <v>323</v>
      </c>
    </row>
  </sheetData>
  <mergeCells count="1">
    <mergeCell ref="A1:A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4"/>
  <sheetViews>
    <sheetView workbookViewId="0">
      <selection sqref="A1:A2"/>
    </sheetView>
  </sheetViews>
  <sheetFormatPr baseColWidth="10" defaultColWidth="8.83203125" defaultRowHeight="15" x14ac:dyDescent="0.2"/>
  <cols>
    <col min="1" max="1" width="43" customWidth="1"/>
    <col min="2" max="2" width="80" customWidth="1"/>
  </cols>
  <sheetData>
    <row r="1" spans="1:2" ht="16" x14ac:dyDescent="0.2">
      <c r="A1" s="59" t="s">
        <v>324</v>
      </c>
      <c r="B1" s="12" t="s">
        <v>1</v>
      </c>
    </row>
    <row r="2" spans="1:2" ht="16" x14ac:dyDescent="0.2">
      <c r="A2" s="60"/>
      <c r="B2" s="12" t="s">
        <v>2</v>
      </c>
    </row>
    <row r="3" spans="1:2" ht="16" x14ac:dyDescent="0.2">
      <c r="A3" s="1" t="s">
        <v>325</v>
      </c>
      <c r="B3" s="2" t="s">
        <v>5</v>
      </c>
    </row>
    <row r="4" spans="1:2" ht="409.6" x14ac:dyDescent="0.2">
      <c r="A4" s="2" t="s">
        <v>324</v>
      </c>
      <c r="B4" s="2" t="s">
        <v>326</v>
      </c>
    </row>
  </sheetData>
  <mergeCells count="1">
    <mergeCell ref="A1:A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4"/>
  <sheetViews>
    <sheetView workbookViewId="0">
      <selection sqref="A1:A2"/>
    </sheetView>
  </sheetViews>
  <sheetFormatPr baseColWidth="10" defaultColWidth="8.83203125" defaultRowHeight="15" x14ac:dyDescent="0.2"/>
  <cols>
    <col min="1" max="1" width="53" customWidth="1"/>
    <col min="2" max="2" width="80" customWidth="1"/>
  </cols>
  <sheetData>
    <row r="1" spans="1:2" ht="16" x14ac:dyDescent="0.2">
      <c r="A1" s="59" t="s">
        <v>327</v>
      </c>
      <c r="B1" s="12" t="s">
        <v>1</v>
      </c>
    </row>
    <row r="2" spans="1:2" ht="16" x14ac:dyDescent="0.2">
      <c r="A2" s="60"/>
      <c r="B2" s="12" t="s">
        <v>2</v>
      </c>
    </row>
    <row r="3" spans="1:2" ht="16" x14ac:dyDescent="0.2">
      <c r="A3" s="1" t="s">
        <v>328</v>
      </c>
      <c r="B3" s="2" t="s">
        <v>5</v>
      </c>
    </row>
    <row r="4" spans="1:2" ht="256" x14ac:dyDescent="0.2">
      <c r="A4" s="2" t="s">
        <v>327</v>
      </c>
      <c r="B4" s="2" t="s">
        <v>329</v>
      </c>
    </row>
  </sheetData>
  <mergeCells count="1">
    <mergeCell ref="A1:A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
  <sheetViews>
    <sheetView topLeftCell="A4" workbookViewId="0">
      <selection sqref="A1:A2"/>
    </sheetView>
  </sheetViews>
  <sheetFormatPr baseColWidth="10" defaultColWidth="8.83203125" defaultRowHeight="15" x14ac:dyDescent="0.2"/>
  <cols>
    <col min="1" max="1" width="30" customWidth="1"/>
    <col min="2" max="2" width="80" customWidth="1"/>
  </cols>
  <sheetData>
    <row r="1" spans="1:2" ht="16" x14ac:dyDescent="0.2">
      <c r="A1" s="59" t="s">
        <v>330</v>
      </c>
      <c r="B1" s="12" t="s">
        <v>1</v>
      </c>
    </row>
    <row r="2" spans="1:2" ht="16" x14ac:dyDescent="0.2">
      <c r="A2" s="60"/>
      <c r="B2" s="12" t="s">
        <v>2</v>
      </c>
    </row>
    <row r="3" spans="1:2" ht="16" x14ac:dyDescent="0.2">
      <c r="A3" s="1" t="s">
        <v>331</v>
      </c>
      <c r="B3" s="2" t="s">
        <v>5</v>
      </c>
    </row>
    <row r="4" spans="1:2" ht="409.6" x14ac:dyDescent="0.2">
      <c r="A4" s="2" t="s">
        <v>330</v>
      </c>
      <c r="B4" s="2" t="s">
        <v>332</v>
      </c>
    </row>
  </sheetData>
  <mergeCells count="1">
    <mergeCell ref="A1:A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topLeftCell="A4" workbookViewId="0">
      <selection sqref="A1:A2"/>
    </sheetView>
  </sheetViews>
  <sheetFormatPr baseColWidth="10" defaultColWidth="8.83203125" defaultRowHeight="15" x14ac:dyDescent="0.2"/>
  <cols>
    <col min="1" max="1" width="33" customWidth="1"/>
    <col min="2" max="2" width="80" customWidth="1"/>
  </cols>
  <sheetData>
    <row r="1" spans="1:2" ht="16" x14ac:dyDescent="0.2">
      <c r="A1" s="59" t="s">
        <v>333</v>
      </c>
      <c r="B1" s="12" t="s">
        <v>1</v>
      </c>
    </row>
    <row r="2" spans="1:2" ht="16" x14ac:dyDescent="0.2">
      <c r="A2" s="60"/>
      <c r="B2" s="12" t="s">
        <v>2</v>
      </c>
    </row>
    <row r="3" spans="1:2" ht="16" x14ac:dyDescent="0.2">
      <c r="A3" s="1" t="s">
        <v>334</v>
      </c>
      <c r="B3" s="2" t="s">
        <v>5</v>
      </c>
    </row>
    <row r="4" spans="1:2" ht="409.6" x14ac:dyDescent="0.2">
      <c r="A4" s="2" t="s">
        <v>333</v>
      </c>
      <c r="B4" s="2" t="s">
        <v>335</v>
      </c>
    </row>
  </sheetData>
  <mergeCells count="1">
    <mergeCell ref="A1:A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4"/>
  <sheetViews>
    <sheetView tabSelected="1" workbookViewId="0">
      <selection activeCell="B17" sqref="B17"/>
    </sheetView>
  </sheetViews>
  <sheetFormatPr baseColWidth="10" defaultColWidth="8.83203125" defaultRowHeight="15" x14ac:dyDescent="0.2"/>
  <cols>
    <col min="1" max="1" width="64" customWidth="1"/>
    <col min="2" max="2" width="80" customWidth="1"/>
  </cols>
  <sheetData>
    <row r="1" spans="1:2" ht="16" x14ac:dyDescent="0.2">
      <c r="A1" s="59" t="s">
        <v>336</v>
      </c>
      <c r="B1" s="12" t="s">
        <v>1</v>
      </c>
    </row>
    <row r="2" spans="1:2" ht="16" x14ac:dyDescent="0.2">
      <c r="A2" s="60"/>
      <c r="B2" s="12" t="s">
        <v>2</v>
      </c>
    </row>
    <row r="3" spans="1:2" ht="16" x14ac:dyDescent="0.2">
      <c r="A3" s="1" t="s">
        <v>337</v>
      </c>
      <c r="B3" s="2" t="s">
        <v>5</v>
      </c>
    </row>
    <row r="4" spans="1:2" ht="80" x14ac:dyDescent="0.2">
      <c r="A4" s="2" t="s">
        <v>336</v>
      </c>
      <c r="B4" s="2" t="s">
        <v>338</v>
      </c>
    </row>
  </sheetData>
  <mergeCells count="1">
    <mergeCell ref="A1:A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
  <sheetViews>
    <sheetView workbookViewId="0">
      <selection sqref="A1:A2"/>
    </sheetView>
  </sheetViews>
  <sheetFormatPr baseColWidth="10" defaultColWidth="8.83203125" defaultRowHeight="15" x14ac:dyDescent="0.2"/>
  <cols>
    <col min="1" max="1" width="42" customWidth="1"/>
    <col min="2" max="2" width="80" customWidth="1"/>
  </cols>
  <sheetData>
    <row r="1" spans="1:2" ht="16" x14ac:dyDescent="0.2">
      <c r="A1" s="59" t="s">
        <v>339</v>
      </c>
      <c r="B1" s="12" t="s">
        <v>1</v>
      </c>
    </row>
    <row r="2" spans="1:2" ht="16" x14ac:dyDescent="0.2">
      <c r="A2" s="60"/>
      <c r="B2" s="12" t="s">
        <v>2</v>
      </c>
    </row>
    <row r="3" spans="1:2" ht="16" x14ac:dyDescent="0.2">
      <c r="A3" s="1" t="s">
        <v>340</v>
      </c>
      <c r="B3" s="2" t="s">
        <v>5</v>
      </c>
    </row>
    <row r="4" spans="1:2" ht="112" x14ac:dyDescent="0.2">
      <c r="A4" s="2" t="s">
        <v>341</v>
      </c>
      <c r="B4" s="2" t="s">
        <v>342</v>
      </c>
    </row>
  </sheetData>
  <mergeCells count="1">
    <mergeCell ref="A1:A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4"/>
  <sheetViews>
    <sheetView workbookViewId="0">
      <selection sqref="A1:A2"/>
    </sheetView>
  </sheetViews>
  <sheetFormatPr baseColWidth="10" defaultColWidth="8.83203125" defaultRowHeight="15" x14ac:dyDescent="0.2"/>
  <cols>
    <col min="1" max="1" width="32" customWidth="1"/>
    <col min="2" max="2" width="100.83203125" customWidth="1"/>
  </cols>
  <sheetData>
    <row r="1" spans="1:2" ht="16" x14ac:dyDescent="0.2">
      <c r="A1" s="59" t="s">
        <v>157</v>
      </c>
      <c r="B1" s="12" t="s">
        <v>1</v>
      </c>
    </row>
    <row r="2" spans="1:2" ht="16" x14ac:dyDescent="0.2">
      <c r="A2" s="60"/>
      <c r="B2" s="12" t="s">
        <v>2</v>
      </c>
    </row>
    <row r="3" spans="1:2" ht="16" x14ac:dyDescent="0.2">
      <c r="A3" s="1" t="s">
        <v>343</v>
      </c>
      <c r="B3" s="2" t="s">
        <v>5</v>
      </c>
    </row>
    <row r="4" spans="1:2" ht="407.25" customHeight="1" x14ac:dyDescent="0.2">
      <c r="A4" s="2" t="s">
        <v>157</v>
      </c>
      <c r="B4" s="2" t="s">
        <v>344</v>
      </c>
    </row>
  </sheetData>
  <mergeCells count="1">
    <mergeCell ref="A1:A2"/>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4"/>
  <sheetViews>
    <sheetView workbookViewId="0">
      <selection sqref="A1:A2"/>
    </sheetView>
  </sheetViews>
  <sheetFormatPr baseColWidth="10" defaultColWidth="8.83203125" defaultRowHeight="15" x14ac:dyDescent="0.2"/>
  <cols>
    <col min="1" max="1" width="36" customWidth="1"/>
    <col min="2" max="2" width="80" customWidth="1"/>
  </cols>
  <sheetData>
    <row r="1" spans="1:2" ht="16" x14ac:dyDescent="0.2">
      <c r="A1" s="59" t="s">
        <v>345</v>
      </c>
      <c r="B1" s="12" t="s">
        <v>1</v>
      </c>
    </row>
    <row r="2" spans="1:2" ht="16" x14ac:dyDescent="0.2">
      <c r="A2" s="60"/>
      <c r="B2" s="12" t="s">
        <v>2</v>
      </c>
    </row>
    <row r="3" spans="1:2" ht="16" x14ac:dyDescent="0.2">
      <c r="A3" s="1" t="s">
        <v>346</v>
      </c>
      <c r="B3" s="2" t="s">
        <v>5</v>
      </c>
    </row>
    <row r="4" spans="1:2" ht="208" x14ac:dyDescent="0.2">
      <c r="A4" s="2" t="s">
        <v>345</v>
      </c>
      <c r="B4" s="2" t="s">
        <v>347</v>
      </c>
    </row>
  </sheetData>
  <mergeCells count="1">
    <mergeCell ref="A1:A2"/>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4"/>
  <sheetViews>
    <sheetView workbookViewId="0">
      <selection sqref="A1:A2"/>
    </sheetView>
  </sheetViews>
  <sheetFormatPr baseColWidth="10" defaultColWidth="8.83203125" defaultRowHeight="15" x14ac:dyDescent="0.2"/>
  <cols>
    <col min="1" max="1" width="63" customWidth="1"/>
    <col min="2" max="2" width="80" customWidth="1"/>
  </cols>
  <sheetData>
    <row r="1" spans="1:2" ht="16" x14ac:dyDescent="0.2">
      <c r="A1" s="59" t="s">
        <v>348</v>
      </c>
      <c r="B1" s="12" t="s">
        <v>1</v>
      </c>
    </row>
    <row r="2" spans="1:2" ht="16" x14ac:dyDescent="0.2">
      <c r="A2" s="60"/>
      <c r="B2" s="12" t="s">
        <v>2</v>
      </c>
    </row>
    <row r="3" spans="1:2" ht="16" x14ac:dyDescent="0.2">
      <c r="A3" s="1" t="s">
        <v>349</v>
      </c>
      <c r="B3" s="2" t="s">
        <v>5</v>
      </c>
    </row>
    <row r="4" spans="1:2" ht="409.6" x14ac:dyDescent="0.2">
      <c r="A4" s="2" t="s">
        <v>350</v>
      </c>
      <c r="B4" s="2" t="s">
        <v>351</v>
      </c>
    </row>
  </sheetData>
  <mergeCells count="1">
    <mergeCell ref="A1:A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4"/>
  <sheetViews>
    <sheetView workbookViewId="0">
      <selection sqref="A1:A2"/>
    </sheetView>
  </sheetViews>
  <sheetFormatPr baseColWidth="10" defaultColWidth="8.83203125" defaultRowHeight="15" x14ac:dyDescent="0.2"/>
  <cols>
    <col min="1" max="1" width="41" customWidth="1"/>
    <col min="2" max="2" width="80" customWidth="1"/>
  </cols>
  <sheetData>
    <row r="1" spans="1:2" ht="16" x14ac:dyDescent="0.2">
      <c r="A1" s="59" t="s">
        <v>352</v>
      </c>
      <c r="B1" s="12" t="s">
        <v>1</v>
      </c>
    </row>
    <row r="2" spans="1:2" ht="16" x14ac:dyDescent="0.2">
      <c r="A2" s="60"/>
      <c r="B2" s="12" t="s">
        <v>2</v>
      </c>
    </row>
    <row r="3" spans="1:2" ht="16" x14ac:dyDescent="0.2">
      <c r="A3" s="1" t="s">
        <v>353</v>
      </c>
      <c r="B3" s="2" t="s">
        <v>5</v>
      </c>
    </row>
    <row r="4" spans="1:2" ht="144" x14ac:dyDescent="0.2">
      <c r="A4" s="2" t="s">
        <v>352</v>
      </c>
      <c r="B4" s="2" t="s">
        <v>354</v>
      </c>
    </row>
  </sheetData>
  <mergeCells count="1">
    <mergeCell ref="A1:A2"/>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4"/>
  <sheetViews>
    <sheetView workbookViewId="0">
      <selection sqref="A1:A2"/>
    </sheetView>
  </sheetViews>
  <sheetFormatPr baseColWidth="10" defaultColWidth="8.83203125" defaultRowHeight="15" x14ac:dyDescent="0.2"/>
  <cols>
    <col min="1" max="1" width="23" customWidth="1"/>
    <col min="2" max="2" width="80" customWidth="1"/>
  </cols>
  <sheetData>
    <row r="1" spans="1:2" ht="16" x14ac:dyDescent="0.2">
      <c r="A1" s="59" t="s">
        <v>175</v>
      </c>
      <c r="B1" s="12" t="s">
        <v>1</v>
      </c>
    </row>
    <row r="2" spans="1:2" ht="16" x14ac:dyDescent="0.2">
      <c r="A2" s="60"/>
      <c r="B2" s="12" t="s">
        <v>2</v>
      </c>
    </row>
    <row r="3" spans="1:2" ht="16" x14ac:dyDescent="0.2">
      <c r="A3" s="1" t="s">
        <v>355</v>
      </c>
      <c r="B3" s="2" t="s">
        <v>5</v>
      </c>
    </row>
    <row r="4" spans="1:2" ht="288" x14ac:dyDescent="0.2">
      <c r="A4" s="2" t="s">
        <v>175</v>
      </c>
      <c r="B4" s="2" t="s">
        <v>356</v>
      </c>
    </row>
  </sheetData>
  <mergeCells count="1">
    <mergeCell ref="A1:A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4"/>
  <sheetViews>
    <sheetView workbookViewId="0"/>
  </sheetViews>
  <sheetFormatPr baseColWidth="10" defaultColWidth="8.83203125" defaultRowHeight="15" x14ac:dyDescent="0.2"/>
  <cols>
    <col min="1" max="1" width="18" customWidth="1"/>
    <col min="2" max="2" width="80" customWidth="1"/>
  </cols>
  <sheetData>
    <row r="1" spans="1:2" ht="16" x14ac:dyDescent="0.2">
      <c r="A1" s="59" t="s">
        <v>357</v>
      </c>
      <c r="B1" s="12" t="s">
        <v>1</v>
      </c>
    </row>
    <row r="2" spans="1:2" ht="16" x14ac:dyDescent="0.2">
      <c r="A2" s="60"/>
      <c r="B2" s="12" t="s">
        <v>2</v>
      </c>
    </row>
    <row r="3" spans="1:2" ht="16" x14ac:dyDescent="0.2">
      <c r="A3" s="1" t="s">
        <v>358</v>
      </c>
      <c r="B3" s="2" t="s">
        <v>5</v>
      </c>
    </row>
    <row r="4" spans="1:2" ht="272" x14ac:dyDescent="0.2">
      <c r="A4" s="2" t="s">
        <v>357</v>
      </c>
      <c r="B4" s="2" t="s">
        <v>359</v>
      </c>
    </row>
  </sheetData>
  <mergeCells count="1">
    <mergeCell ref="A1:A2"/>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4"/>
  <sheetViews>
    <sheetView workbookViewId="0"/>
  </sheetViews>
  <sheetFormatPr baseColWidth="10" defaultColWidth="8.83203125" defaultRowHeight="15" x14ac:dyDescent="0.2"/>
  <cols>
    <col min="1" max="1" width="52" customWidth="1"/>
    <col min="2" max="2" width="80" customWidth="1"/>
  </cols>
  <sheetData>
    <row r="1" spans="1:2" ht="16" x14ac:dyDescent="0.2">
      <c r="A1" s="59" t="s">
        <v>360</v>
      </c>
      <c r="B1" s="12" t="s">
        <v>1</v>
      </c>
    </row>
    <row r="2" spans="1:2" ht="16" x14ac:dyDescent="0.2">
      <c r="A2" s="60"/>
      <c r="B2" s="12" t="s">
        <v>2</v>
      </c>
    </row>
    <row r="3" spans="1:2" ht="16" x14ac:dyDescent="0.2">
      <c r="A3" s="1" t="s">
        <v>361</v>
      </c>
      <c r="B3" s="2" t="s">
        <v>5</v>
      </c>
    </row>
    <row r="4" spans="1:2" ht="409.6" x14ac:dyDescent="0.2">
      <c r="A4" s="2" t="s">
        <v>360</v>
      </c>
      <c r="B4" s="2" t="s">
        <v>362</v>
      </c>
    </row>
  </sheetData>
  <mergeCells count="1">
    <mergeCell ref="A1:A2"/>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4"/>
  <sheetViews>
    <sheetView workbookViewId="0"/>
  </sheetViews>
  <sheetFormatPr baseColWidth="10" defaultColWidth="8.83203125" defaultRowHeight="15" x14ac:dyDescent="0.2"/>
  <cols>
    <col min="1" max="1" width="41" customWidth="1"/>
    <col min="2" max="2" width="80" customWidth="1"/>
  </cols>
  <sheetData>
    <row r="1" spans="1:2" ht="16" x14ac:dyDescent="0.2">
      <c r="A1" s="59" t="s">
        <v>363</v>
      </c>
      <c r="B1" s="12" t="s">
        <v>1</v>
      </c>
    </row>
    <row r="2" spans="1:2" ht="16" x14ac:dyDescent="0.2">
      <c r="A2" s="60"/>
      <c r="B2" s="12" t="s">
        <v>2</v>
      </c>
    </row>
    <row r="3" spans="1:2" ht="16" x14ac:dyDescent="0.2">
      <c r="A3" s="1" t="s">
        <v>364</v>
      </c>
      <c r="B3" s="2" t="s">
        <v>5</v>
      </c>
    </row>
    <row r="4" spans="1:2" ht="409.6" x14ac:dyDescent="0.2">
      <c r="A4" s="2" t="s">
        <v>363</v>
      </c>
      <c r="B4" s="2" t="s">
        <v>365</v>
      </c>
    </row>
  </sheetData>
  <mergeCells count="1">
    <mergeCell ref="A1:A2"/>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4"/>
  <sheetViews>
    <sheetView workbookViewId="0"/>
  </sheetViews>
  <sheetFormatPr baseColWidth="10" defaultColWidth="8.83203125" defaultRowHeight="15" x14ac:dyDescent="0.2"/>
  <cols>
    <col min="1" max="1" width="27" customWidth="1"/>
    <col min="2" max="2" width="80" customWidth="1"/>
  </cols>
  <sheetData>
    <row r="1" spans="1:2" ht="16" x14ac:dyDescent="0.2">
      <c r="A1" s="59" t="s">
        <v>366</v>
      </c>
      <c r="B1" s="12" t="s">
        <v>1</v>
      </c>
    </row>
    <row r="2" spans="1:2" ht="16" x14ac:dyDescent="0.2">
      <c r="A2" s="60"/>
      <c r="B2" s="12" t="s">
        <v>2</v>
      </c>
    </row>
    <row r="3" spans="1:2" ht="16" x14ac:dyDescent="0.2">
      <c r="A3" s="1" t="s">
        <v>367</v>
      </c>
      <c r="B3" s="2" t="s">
        <v>5</v>
      </c>
    </row>
    <row r="4" spans="1:2" ht="350" x14ac:dyDescent="0.2">
      <c r="A4" s="2" t="s">
        <v>366</v>
      </c>
      <c r="B4" s="2" t="s">
        <v>368</v>
      </c>
    </row>
  </sheetData>
  <mergeCells count="1">
    <mergeCell ref="A1:A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4"/>
  <sheetViews>
    <sheetView workbookViewId="0"/>
  </sheetViews>
  <sheetFormatPr baseColWidth="10" defaultColWidth="8.83203125" defaultRowHeight="15" x14ac:dyDescent="0.2"/>
  <cols>
    <col min="1" max="1" width="44" customWidth="1"/>
    <col min="2" max="2" width="80" customWidth="1"/>
  </cols>
  <sheetData>
    <row r="1" spans="1:2" ht="16" x14ac:dyDescent="0.2">
      <c r="A1" s="59" t="s">
        <v>369</v>
      </c>
      <c r="B1" s="12" t="s">
        <v>1</v>
      </c>
    </row>
    <row r="2" spans="1:2" ht="16" x14ac:dyDescent="0.2">
      <c r="A2" s="60"/>
      <c r="B2" s="12" t="s">
        <v>2</v>
      </c>
    </row>
    <row r="3" spans="1:2" ht="16" x14ac:dyDescent="0.2">
      <c r="A3" s="1" t="s">
        <v>370</v>
      </c>
      <c r="B3" s="2" t="s">
        <v>5</v>
      </c>
    </row>
    <row r="4" spans="1:2" ht="409.6" x14ac:dyDescent="0.2">
      <c r="A4" s="2" t="s">
        <v>369</v>
      </c>
      <c r="B4" s="2" t="s">
        <v>371</v>
      </c>
    </row>
  </sheetData>
  <mergeCells count="1">
    <mergeCell ref="A1:A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4"/>
  <sheetViews>
    <sheetView workbookViewId="0"/>
  </sheetViews>
  <sheetFormatPr baseColWidth="10" defaultColWidth="8.83203125" defaultRowHeight="15" x14ac:dyDescent="0.2"/>
  <cols>
    <col min="1" max="1" width="61" customWidth="1"/>
    <col min="2" max="2" width="80" customWidth="1"/>
  </cols>
  <sheetData>
    <row r="1" spans="1:2" ht="16" x14ac:dyDescent="0.2">
      <c r="A1" s="59" t="s">
        <v>372</v>
      </c>
      <c r="B1" s="12" t="s">
        <v>1</v>
      </c>
    </row>
    <row r="2" spans="1:2" ht="16" x14ac:dyDescent="0.2">
      <c r="A2" s="60"/>
      <c r="B2" s="12" t="s">
        <v>2</v>
      </c>
    </row>
    <row r="3" spans="1:2" ht="16" x14ac:dyDescent="0.2">
      <c r="A3" s="1" t="s">
        <v>373</v>
      </c>
      <c r="B3" s="2" t="s">
        <v>5</v>
      </c>
    </row>
    <row r="4" spans="1:2" ht="409.6" x14ac:dyDescent="0.2">
      <c r="A4" s="2" t="s">
        <v>372</v>
      </c>
      <c r="B4" s="2" t="s">
        <v>374</v>
      </c>
    </row>
  </sheetData>
  <mergeCells count="1">
    <mergeCell ref="A1:A2"/>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4"/>
  <sheetViews>
    <sheetView workbookViewId="0"/>
  </sheetViews>
  <sheetFormatPr baseColWidth="10" defaultColWidth="8.83203125" defaultRowHeight="15" x14ac:dyDescent="0.2"/>
  <cols>
    <col min="1" max="1" width="37" customWidth="1"/>
    <col min="2" max="2" width="80" customWidth="1"/>
  </cols>
  <sheetData>
    <row r="1" spans="1:2" ht="16" x14ac:dyDescent="0.2">
      <c r="A1" s="59" t="s">
        <v>375</v>
      </c>
      <c r="B1" s="12" t="s">
        <v>1</v>
      </c>
    </row>
    <row r="2" spans="1:2" ht="16" x14ac:dyDescent="0.2">
      <c r="A2" s="60"/>
      <c r="B2" s="12" t="s">
        <v>2</v>
      </c>
    </row>
    <row r="3" spans="1:2" ht="16" x14ac:dyDescent="0.2">
      <c r="A3" s="1" t="s">
        <v>376</v>
      </c>
      <c r="B3" s="2" t="s">
        <v>5</v>
      </c>
    </row>
    <row r="4" spans="1:2" ht="409.6" x14ac:dyDescent="0.2">
      <c r="A4" s="2" t="s">
        <v>375</v>
      </c>
      <c r="B4" s="2" t="s">
        <v>377</v>
      </c>
    </row>
  </sheetData>
  <mergeCells count="1">
    <mergeCell ref="A1:A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4"/>
  <sheetViews>
    <sheetView workbookViewId="0"/>
  </sheetViews>
  <sheetFormatPr baseColWidth="10" defaultColWidth="8.83203125" defaultRowHeight="15" x14ac:dyDescent="0.2"/>
  <cols>
    <col min="1" max="1" width="45" customWidth="1"/>
    <col min="2" max="2" width="80" customWidth="1"/>
  </cols>
  <sheetData>
    <row r="1" spans="1:2" ht="16" x14ac:dyDescent="0.2">
      <c r="A1" s="59" t="s">
        <v>378</v>
      </c>
      <c r="B1" s="12" t="s">
        <v>1</v>
      </c>
    </row>
    <row r="2" spans="1:2" ht="16" x14ac:dyDescent="0.2">
      <c r="A2" s="60"/>
      <c r="B2" s="12" t="s">
        <v>2</v>
      </c>
    </row>
    <row r="3" spans="1:2" ht="16" x14ac:dyDescent="0.2">
      <c r="A3" s="1" t="s">
        <v>379</v>
      </c>
      <c r="B3" s="2" t="s">
        <v>5</v>
      </c>
    </row>
    <row r="4" spans="1:2" ht="409.6" x14ac:dyDescent="0.2">
      <c r="A4" s="2" t="s">
        <v>378</v>
      </c>
      <c r="B4" s="2" t="s">
        <v>380</v>
      </c>
    </row>
  </sheetData>
  <mergeCells count="1">
    <mergeCell ref="A1:A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4"/>
  <sheetViews>
    <sheetView workbookViewId="0"/>
  </sheetViews>
  <sheetFormatPr baseColWidth="10" defaultColWidth="8.83203125" defaultRowHeight="15" x14ac:dyDescent="0.2"/>
  <cols>
    <col min="1" max="1" width="34" customWidth="1"/>
    <col min="2" max="2" width="80" customWidth="1"/>
  </cols>
  <sheetData>
    <row r="1" spans="1:2" ht="16" x14ac:dyDescent="0.2">
      <c r="A1" s="59" t="s">
        <v>381</v>
      </c>
      <c r="B1" s="12" t="s">
        <v>1</v>
      </c>
    </row>
    <row r="2" spans="1:2" ht="16" x14ac:dyDescent="0.2">
      <c r="A2" s="60"/>
      <c r="B2" s="12" t="s">
        <v>2</v>
      </c>
    </row>
    <row r="3" spans="1:2" ht="16" x14ac:dyDescent="0.2">
      <c r="A3" s="1" t="s">
        <v>382</v>
      </c>
      <c r="B3" s="2" t="s">
        <v>5</v>
      </c>
    </row>
    <row r="4" spans="1:2" ht="409.6" x14ac:dyDescent="0.2">
      <c r="A4" s="2" t="s">
        <v>381</v>
      </c>
      <c r="B4" s="2" t="s">
        <v>383</v>
      </c>
    </row>
  </sheetData>
  <mergeCells count="1">
    <mergeCell ref="A1:A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4"/>
  <sheetViews>
    <sheetView workbookViewId="0"/>
  </sheetViews>
  <sheetFormatPr baseColWidth="10" defaultColWidth="8.83203125" defaultRowHeight="15" x14ac:dyDescent="0.2"/>
  <cols>
    <col min="1" max="1" width="66" customWidth="1"/>
    <col min="2" max="2" width="80" customWidth="1"/>
  </cols>
  <sheetData>
    <row r="1" spans="1:2" ht="16" x14ac:dyDescent="0.2">
      <c r="A1" s="59" t="s">
        <v>384</v>
      </c>
      <c r="B1" s="12" t="s">
        <v>1</v>
      </c>
    </row>
    <row r="2" spans="1:2" ht="16" x14ac:dyDescent="0.2">
      <c r="A2" s="60"/>
      <c r="B2" s="12" t="s">
        <v>2</v>
      </c>
    </row>
    <row r="3" spans="1:2" ht="16" x14ac:dyDescent="0.2">
      <c r="A3" s="1" t="s">
        <v>385</v>
      </c>
      <c r="B3" s="2" t="s">
        <v>5</v>
      </c>
    </row>
    <row r="4" spans="1:2" ht="409.6" x14ac:dyDescent="0.2">
      <c r="A4" s="2" t="s">
        <v>384</v>
      </c>
      <c r="B4" s="2" t="s">
        <v>386</v>
      </c>
    </row>
  </sheetData>
  <mergeCells count="1">
    <mergeCell ref="A1:A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4"/>
  <sheetViews>
    <sheetView workbookViewId="0"/>
  </sheetViews>
  <sheetFormatPr baseColWidth="10" defaultColWidth="8.83203125" defaultRowHeight="15" x14ac:dyDescent="0.2"/>
  <cols>
    <col min="1" max="1" width="32" customWidth="1"/>
    <col min="2" max="2" width="80" customWidth="1"/>
  </cols>
  <sheetData>
    <row r="1" spans="1:2" ht="16" x14ac:dyDescent="0.2">
      <c r="A1" s="59" t="s">
        <v>387</v>
      </c>
      <c r="B1" s="12" t="s">
        <v>1</v>
      </c>
    </row>
    <row r="2" spans="1:2" ht="16" x14ac:dyDescent="0.2">
      <c r="A2" s="60"/>
      <c r="B2" s="12" t="s">
        <v>2</v>
      </c>
    </row>
    <row r="3" spans="1:2" ht="16" x14ac:dyDescent="0.2">
      <c r="A3" s="1" t="s">
        <v>388</v>
      </c>
      <c r="B3" s="2" t="s">
        <v>5</v>
      </c>
    </row>
    <row r="4" spans="1:2" ht="409.6" x14ac:dyDescent="0.2">
      <c r="A4" s="2" t="s">
        <v>387</v>
      </c>
      <c r="B4" s="2" t="s">
        <v>389</v>
      </c>
    </row>
  </sheetData>
  <mergeCells count="1">
    <mergeCell ref="A1:A2"/>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4"/>
  <sheetViews>
    <sheetView workbookViewId="0"/>
  </sheetViews>
  <sheetFormatPr baseColWidth="10" defaultColWidth="8.83203125" defaultRowHeight="15" x14ac:dyDescent="0.2"/>
  <cols>
    <col min="1" max="1" width="29" customWidth="1"/>
    <col min="2" max="2" width="80" customWidth="1"/>
  </cols>
  <sheetData>
    <row r="1" spans="1:2" ht="16" x14ac:dyDescent="0.2">
      <c r="A1" s="59" t="s">
        <v>390</v>
      </c>
      <c r="B1" s="12" t="s">
        <v>1</v>
      </c>
    </row>
    <row r="2" spans="1:2" ht="16" x14ac:dyDescent="0.2">
      <c r="A2" s="60"/>
      <c r="B2" s="12" t="s">
        <v>2</v>
      </c>
    </row>
    <row r="3" spans="1:2" ht="16" x14ac:dyDescent="0.2">
      <c r="A3" s="1" t="s">
        <v>391</v>
      </c>
      <c r="B3" s="2" t="s">
        <v>5</v>
      </c>
    </row>
    <row r="4" spans="1:2" ht="224" x14ac:dyDescent="0.2">
      <c r="A4" s="2" t="s">
        <v>390</v>
      </c>
      <c r="B4" s="2" t="s">
        <v>392</v>
      </c>
    </row>
  </sheetData>
  <mergeCells count="1">
    <mergeCell ref="A1:A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4"/>
  <sheetViews>
    <sheetView workbookViewId="0"/>
  </sheetViews>
  <sheetFormatPr baseColWidth="10" defaultColWidth="8.83203125" defaultRowHeight="15" x14ac:dyDescent="0.2"/>
  <cols>
    <col min="1" max="1" width="54" customWidth="1"/>
    <col min="2" max="2" width="16" customWidth="1"/>
    <col min="3" max="4" width="14" customWidth="1"/>
  </cols>
  <sheetData>
    <row r="1" spans="1:4" x14ac:dyDescent="0.2">
      <c r="A1" s="59" t="s">
        <v>393</v>
      </c>
      <c r="B1" s="61" t="s">
        <v>1</v>
      </c>
      <c r="C1" s="60"/>
      <c r="D1" s="60"/>
    </row>
    <row r="2" spans="1:4" ht="16" x14ac:dyDescent="0.2">
      <c r="A2" s="60"/>
      <c r="B2" s="12" t="s">
        <v>2</v>
      </c>
      <c r="C2" s="12" t="s">
        <v>75</v>
      </c>
      <c r="D2" s="12" t="s">
        <v>76</v>
      </c>
    </row>
    <row r="3" spans="1:4" ht="16" x14ac:dyDescent="0.2">
      <c r="A3" s="1" t="s">
        <v>394</v>
      </c>
      <c r="B3" s="2" t="s">
        <v>5</v>
      </c>
      <c r="C3" s="2" t="s">
        <v>5</v>
      </c>
      <c r="D3" s="2" t="s">
        <v>5</v>
      </c>
    </row>
    <row r="4" spans="1:4" ht="16" x14ac:dyDescent="0.2">
      <c r="A4" s="2" t="s">
        <v>92</v>
      </c>
      <c r="B4" s="5">
        <v>-2222</v>
      </c>
      <c r="C4" s="5">
        <v>-4935</v>
      </c>
      <c r="D4" s="5">
        <v>-4202</v>
      </c>
    </row>
  </sheetData>
  <mergeCells count="2">
    <mergeCell ref="A1:A2"/>
    <mergeCell ref="B1:D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7"/>
  <sheetViews>
    <sheetView workbookViewId="0"/>
  </sheetViews>
  <sheetFormatPr baseColWidth="10" defaultColWidth="8.83203125" defaultRowHeight="15" x14ac:dyDescent="0.2"/>
  <cols>
    <col min="1" max="1" width="39" customWidth="1"/>
    <col min="2" max="2" width="15" customWidth="1"/>
  </cols>
  <sheetData>
    <row r="1" spans="1:2" ht="16" x14ac:dyDescent="0.2">
      <c r="A1" s="59" t="s">
        <v>395</v>
      </c>
      <c r="B1" s="12" t="s">
        <v>396</v>
      </c>
    </row>
    <row r="2" spans="1:2" ht="16" x14ac:dyDescent="0.2">
      <c r="A2" s="60"/>
      <c r="B2" s="12" t="s">
        <v>2</v>
      </c>
    </row>
    <row r="3" spans="1:2" ht="16" x14ac:dyDescent="0.2">
      <c r="A3" s="1" t="s">
        <v>397</v>
      </c>
      <c r="B3" s="2" t="s">
        <v>5</v>
      </c>
    </row>
    <row r="4" spans="1:2" ht="16" x14ac:dyDescent="0.2">
      <c r="A4" s="2" t="s">
        <v>398</v>
      </c>
      <c r="B4" s="2" t="s">
        <v>13</v>
      </c>
    </row>
    <row r="5" spans="1:2" ht="16" x14ac:dyDescent="0.2">
      <c r="A5" s="2" t="s">
        <v>399</v>
      </c>
      <c r="B5" s="2" t="s">
        <v>13</v>
      </c>
    </row>
    <row r="6" spans="1:2" ht="16" x14ac:dyDescent="0.2">
      <c r="A6" s="2" t="s">
        <v>400</v>
      </c>
      <c r="B6" s="2" t="s">
        <v>13</v>
      </c>
    </row>
    <row r="7" spans="1:2" ht="16" x14ac:dyDescent="0.2">
      <c r="A7" s="2" t="s">
        <v>401</v>
      </c>
      <c r="B7" s="2" t="s">
        <v>13</v>
      </c>
    </row>
  </sheetData>
  <mergeCells count="1">
    <mergeCell ref="A1:A2"/>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29"/>
  <sheetViews>
    <sheetView workbookViewId="0"/>
  </sheetViews>
  <sheetFormatPr baseColWidth="10" defaultColWidth="8.83203125" defaultRowHeight="15" x14ac:dyDescent="0.2"/>
  <cols>
    <col min="1" max="1" width="54" customWidth="1"/>
    <col min="2" max="2" width="80" customWidth="1"/>
  </cols>
  <sheetData>
    <row r="1" spans="1:2" ht="16" x14ac:dyDescent="0.2">
      <c r="A1" s="59" t="s">
        <v>402</v>
      </c>
      <c r="B1" s="12" t="s">
        <v>1</v>
      </c>
    </row>
    <row r="2" spans="1:2" ht="16" x14ac:dyDescent="0.2">
      <c r="A2" s="60"/>
      <c r="B2" s="12" t="s">
        <v>2</v>
      </c>
    </row>
    <row r="3" spans="1:2" ht="16" x14ac:dyDescent="0.2">
      <c r="A3" s="1" t="s">
        <v>325</v>
      </c>
      <c r="B3" s="2" t="s">
        <v>5</v>
      </c>
    </row>
    <row r="4" spans="1:2" ht="128" x14ac:dyDescent="0.2">
      <c r="A4" s="2" t="s">
        <v>403</v>
      </c>
      <c r="B4" s="2" t="s">
        <v>404</v>
      </c>
    </row>
    <row r="5" spans="1:2" ht="80" x14ac:dyDescent="0.2">
      <c r="A5" s="2" t="s">
        <v>405</v>
      </c>
      <c r="B5" s="2" t="s">
        <v>406</v>
      </c>
    </row>
    <row r="6" spans="1:2" ht="32" x14ac:dyDescent="0.2">
      <c r="A6" s="2" t="s">
        <v>407</v>
      </c>
      <c r="B6" s="2" t="s">
        <v>408</v>
      </c>
    </row>
    <row r="7" spans="1:2" ht="409.6" x14ac:dyDescent="0.2">
      <c r="A7" s="2" t="s">
        <v>409</v>
      </c>
      <c r="B7" s="2" t="s">
        <v>410</v>
      </c>
    </row>
    <row r="8" spans="1:2" ht="160" x14ac:dyDescent="0.2">
      <c r="A8" s="2" t="s">
        <v>411</v>
      </c>
      <c r="B8" s="2" t="s">
        <v>412</v>
      </c>
    </row>
    <row r="9" spans="1:2" ht="96" x14ac:dyDescent="0.2">
      <c r="A9" s="2" t="s">
        <v>413</v>
      </c>
      <c r="B9" s="2" t="s">
        <v>414</v>
      </c>
    </row>
    <row r="10" spans="1:2" ht="304" x14ac:dyDescent="0.2">
      <c r="A10" s="2" t="s">
        <v>333</v>
      </c>
      <c r="B10" s="2" t="s">
        <v>415</v>
      </c>
    </row>
    <row r="11" spans="1:2" ht="224" x14ac:dyDescent="0.2">
      <c r="A11" s="2" t="s">
        <v>369</v>
      </c>
      <c r="B11" s="2" t="s">
        <v>416</v>
      </c>
    </row>
    <row r="12" spans="1:2" ht="48" x14ac:dyDescent="0.2">
      <c r="A12" s="2" t="s">
        <v>417</v>
      </c>
      <c r="B12" s="2" t="s">
        <v>418</v>
      </c>
    </row>
    <row r="13" spans="1:2" ht="208" x14ac:dyDescent="0.2">
      <c r="A13" s="2" t="s">
        <v>419</v>
      </c>
      <c r="B13" s="2" t="s">
        <v>420</v>
      </c>
    </row>
    <row r="14" spans="1:2" ht="96" x14ac:dyDescent="0.2">
      <c r="A14" s="2" t="s">
        <v>421</v>
      </c>
      <c r="B14" s="2" t="s">
        <v>422</v>
      </c>
    </row>
    <row r="15" spans="1:2" ht="409.6" x14ac:dyDescent="0.2">
      <c r="A15" s="2" t="s">
        <v>157</v>
      </c>
      <c r="B15" s="2" t="s">
        <v>423</v>
      </c>
    </row>
    <row r="16" spans="1:2" ht="96" x14ac:dyDescent="0.2">
      <c r="A16" s="2" t="s">
        <v>424</v>
      </c>
      <c r="B16" s="2" t="s">
        <v>425</v>
      </c>
    </row>
    <row r="17" spans="1:2" ht="256" x14ac:dyDescent="0.2">
      <c r="A17" s="2" t="s">
        <v>352</v>
      </c>
      <c r="B17" s="2" t="s">
        <v>426</v>
      </c>
    </row>
    <row r="18" spans="1:2" ht="256" x14ac:dyDescent="0.2">
      <c r="A18" s="2" t="s">
        <v>357</v>
      </c>
      <c r="B18" s="2" t="s">
        <v>427</v>
      </c>
    </row>
    <row r="19" spans="1:2" ht="208" x14ac:dyDescent="0.2">
      <c r="A19" s="2" t="s">
        <v>428</v>
      </c>
      <c r="B19" s="2" t="s">
        <v>429</v>
      </c>
    </row>
    <row r="20" spans="1:2" ht="380" x14ac:dyDescent="0.2">
      <c r="A20" s="2" t="s">
        <v>430</v>
      </c>
      <c r="B20" s="2" t="s">
        <v>431</v>
      </c>
    </row>
    <row r="21" spans="1:2" ht="350" x14ac:dyDescent="0.2">
      <c r="A21" s="2" t="s">
        <v>175</v>
      </c>
      <c r="B21" s="2" t="s">
        <v>432</v>
      </c>
    </row>
    <row r="22" spans="1:2" ht="176" x14ac:dyDescent="0.2">
      <c r="A22" s="2" t="s">
        <v>433</v>
      </c>
      <c r="B22" s="2" t="s">
        <v>434</v>
      </c>
    </row>
    <row r="23" spans="1:2" ht="320" x14ac:dyDescent="0.2">
      <c r="A23" s="2" t="s">
        <v>435</v>
      </c>
      <c r="B23" s="2" t="s">
        <v>436</v>
      </c>
    </row>
    <row r="24" spans="1:2" ht="335" x14ac:dyDescent="0.2">
      <c r="A24" s="2" t="s">
        <v>437</v>
      </c>
      <c r="B24" s="2" t="s">
        <v>438</v>
      </c>
    </row>
    <row r="25" spans="1:2" ht="409.6" x14ac:dyDescent="0.2">
      <c r="A25" s="2" t="s">
        <v>439</v>
      </c>
      <c r="B25" s="2" t="s">
        <v>440</v>
      </c>
    </row>
    <row r="26" spans="1:2" ht="16" x14ac:dyDescent="0.2">
      <c r="A26" s="2" t="s">
        <v>441</v>
      </c>
      <c r="B26" s="2" t="s">
        <v>441</v>
      </c>
    </row>
    <row r="27" spans="1:2" ht="80" x14ac:dyDescent="0.2">
      <c r="A27" s="2" t="s">
        <v>442</v>
      </c>
      <c r="B27" s="2" t="s">
        <v>443</v>
      </c>
    </row>
    <row r="28" spans="1:2" ht="160" x14ac:dyDescent="0.2">
      <c r="A28" s="2" t="s">
        <v>330</v>
      </c>
      <c r="B28" s="2" t="s">
        <v>444</v>
      </c>
    </row>
    <row r="29" spans="1:2" ht="80" x14ac:dyDescent="0.2">
      <c r="A29" s="2" t="s">
        <v>445</v>
      </c>
      <c r="B29" s="2" t="s">
        <v>446</v>
      </c>
    </row>
  </sheetData>
  <mergeCells count="1">
    <mergeCell ref="A1:A2"/>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4"/>
  <sheetViews>
    <sheetView workbookViewId="0"/>
  </sheetViews>
  <sheetFormatPr baseColWidth="10" defaultColWidth="8.83203125" defaultRowHeight="15" x14ac:dyDescent="0.2"/>
  <cols>
    <col min="1" max="1" width="73" customWidth="1"/>
    <col min="2" max="2" width="80" customWidth="1"/>
  </cols>
  <sheetData>
    <row r="1" spans="1:2" ht="16" x14ac:dyDescent="0.2">
      <c r="A1" s="59" t="s">
        <v>447</v>
      </c>
      <c r="B1" s="12" t="s">
        <v>1</v>
      </c>
    </row>
    <row r="2" spans="1:2" ht="16" x14ac:dyDescent="0.2">
      <c r="A2" s="60"/>
      <c r="B2" s="12" t="s">
        <v>2</v>
      </c>
    </row>
    <row r="3" spans="1:2" ht="16" x14ac:dyDescent="0.2">
      <c r="A3" s="1" t="s">
        <v>322</v>
      </c>
      <c r="B3" s="2" t="s">
        <v>5</v>
      </c>
    </row>
    <row r="4" spans="1:2" ht="176" x14ac:dyDescent="0.2">
      <c r="A4" s="2" t="s">
        <v>448</v>
      </c>
      <c r="B4" s="2" t="s">
        <v>449</v>
      </c>
    </row>
  </sheetData>
  <mergeCells count="1">
    <mergeCell ref="A1:A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4"/>
  <sheetViews>
    <sheetView workbookViewId="0"/>
  </sheetViews>
  <sheetFormatPr baseColWidth="10" defaultColWidth="8.83203125" defaultRowHeight="15" x14ac:dyDescent="0.2"/>
  <cols>
    <col min="1" max="1" width="52" customWidth="1"/>
    <col min="2" max="2" width="80" customWidth="1"/>
  </cols>
  <sheetData>
    <row r="1" spans="1:2" ht="16" x14ac:dyDescent="0.2">
      <c r="A1" s="59" t="s">
        <v>450</v>
      </c>
      <c r="B1" s="12" t="s">
        <v>1</v>
      </c>
    </row>
    <row r="2" spans="1:2" ht="16" x14ac:dyDescent="0.2">
      <c r="A2" s="60"/>
      <c r="B2" s="12" t="s">
        <v>2</v>
      </c>
    </row>
    <row r="3" spans="1:2" ht="16" x14ac:dyDescent="0.2">
      <c r="A3" s="1" t="s">
        <v>325</v>
      </c>
      <c r="B3" s="2" t="s">
        <v>5</v>
      </c>
    </row>
    <row r="4" spans="1:2" ht="80" x14ac:dyDescent="0.2">
      <c r="A4" s="2" t="s">
        <v>451</v>
      </c>
      <c r="B4" s="2" t="s">
        <v>452</v>
      </c>
    </row>
  </sheetData>
  <mergeCells count="1">
    <mergeCell ref="A1:A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6"/>
  <sheetViews>
    <sheetView workbookViewId="0"/>
  </sheetViews>
  <sheetFormatPr baseColWidth="10" defaultColWidth="8.83203125" defaultRowHeight="15" x14ac:dyDescent="0.2"/>
  <cols>
    <col min="1" max="1" width="72" customWidth="1"/>
    <col min="2" max="2" width="80" customWidth="1"/>
  </cols>
  <sheetData>
    <row r="1" spans="1:2" ht="16" x14ac:dyDescent="0.2">
      <c r="A1" s="59" t="s">
        <v>453</v>
      </c>
      <c r="B1" s="12" t="s">
        <v>1</v>
      </c>
    </row>
    <row r="2" spans="1:2" ht="16" x14ac:dyDescent="0.2">
      <c r="A2" s="60"/>
      <c r="B2" s="12" t="s">
        <v>2</v>
      </c>
    </row>
    <row r="3" spans="1:2" ht="16" x14ac:dyDescent="0.2">
      <c r="A3" s="1" t="s">
        <v>328</v>
      </c>
      <c r="B3" s="2" t="s">
        <v>5</v>
      </c>
    </row>
    <row r="4" spans="1:2" ht="80" x14ac:dyDescent="0.2">
      <c r="A4" s="2" t="s">
        <v>454</v>
      </c>
      <c r="B4" s="2" t="s">
        <v>455</v>
      </c>
    </row>
    <row r="5" spans="1:2" ht="80" x14ac:dyDescent="0.2">
      <c r="A5" s="2" t="s">
        <v>456</v>
      </c>
      <c r="B5" s="2" t="s">
        <v>457</v>
      </c>
    </row>
    <row r="6" spans="1:2" ht="32" x14ac:dyDescent="0.2">
      <c r="A6" s="2" t="s">
        <v>458</v>
      </c>
      <c r="B6" s="2" t="s">
        <v>459</v>
      </c>
    </row>
  </sheetData>
  <mergeCells count="1">
    <mergeCell ref="A1:A2"/>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5"/>
  <sheetViews>
    <sheetView workbookViewId="0"/>
  </sheetViews>
  <sheetFormatPr baseColWidth="10" defaultColWidth="8.83203125" defaultRowHeight="15" x14ac:dyDescent="0.2"/>
  <cols>
    <col min="1" max="2" width="80" customWidth="1"/>
  </cols>
  <sheetData>
    <row r="1" spans="1:2" ht="16" x14ac:dyDescent="0.2">
      <c r="A1" s="59" t="s">
        <v>460</v>
      </c>
      <c r="B1" s="12" t="s">
        <v>1</v>
      </c>
    </row>
    <row r="2" spans="1:2" ht="16" x14ac:dyDescent="0.2">
      <c r="A2" s="60"/>
      <c r="B2" s="12" t="s">
        <v>2</v>
      </c>
    </row>
    <row r="3" spans="1:2" ht="16" x14ac:dyDescent="0.2">
      <c r="A3" s="1" t="s">
        <v>331</v>
      </c>
      <c r="B3" s="2" t="s">
        <v>5</v>
      </c>
    </row>
    <row r="4" spans="1:2" ht="160" x14ac:dyDescent="0.2">
      <c r="A4" s="2" t="s">
        <v>461</v>
      </c>
      <c r="B4" s="2" t="s">
        <v>462</v>
      </c>
    </row>
    <row r="5" spans="1:2" ht="80" x14ac:dyDescent="0.2">
      <c r="A5" s="2" t="s">
        <v>463</v>
      </c>
      <c r="B5" s="2" t="s">
        <v>464</v>
      </c>
    </row>
  </sheetData>
  <mergeCells count="1">
    <mergeCell ref="A1:A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9"/>
  <sheetViews>
    <sheetView workbookViewId="0"/>
  </sheetViews>
  <sheetFormatPr baseColWidth="10" defaultColWidth="8.83203125" defaultRowHeight="15" x14ac:dyDescent="0.2"/>
  <cols>
    <col min="1" max="2" width="80" customWidth="1"/>
  </cols>
  <sheetData>
    <row r="1" spans="1:2" ht="16" x14ac:dyDescent="0.2">
      <c r="A1" s="59" t="s">
        <v>465</v>
      </c>
      <c r="B1" s="12" t="s">
        <v>1</v>
      </c>
    </row>
    <row r="2" spans="1:2" ht="16" x14ac:dyDescent="0.2">
      <c r="A2" s="60"/>
      <c r="B2" s="12" t="s">
        <v>2</v>
      </c>
    </row>
    <row r="3" spans="1:2" ht="16" x14ac:dyDescent="0.2">
      <c r="A3" s="1" t="s">
        <v>334</v>
      </c>
      <c r="B3" s="2" t="s">
        <v>5</v>
      </c>
    </row>
    <row r="4" spans="1:2" ht="32" x14ac:dyDescent="0.2">
      <c r="A4" s="2" t="s">
        <v>466</v>
      </c>
      <c r="B4" s="2" t="s">
        <v>467</v>
      </c>
    </row>
    <row r="5" spans="1:2" ht="64" x14ac:dyDescent="0.2">
      <c r="A5" s="2" t="s">
        <v>468</v>
      </c>
      <c r="B5" s="2" t="s">
        <v>469</v>
      </c>
    </row>
    <row r="6" spans="1:2" ht="128" x14ac:dyDescent="0.2">
      <c r="A6" s="2" t="s">
        <v>470</v>
      </c>
      <c r="B6" s="2" t="s">
        <v>471</v>
      </c>
    </row>
    <row r="7" spans="1:2" ht="208" x14ac:dyDescent="0.2">
      <c r="A7" s="2" t="s">
        <v>472</v>
      </c>
      <c r="B7" s="2" t="s">
        <v>473</v>
      </c>
    </row>
    <row r="8" spans="1:2" ht="48" x14ac:dyDescent="0.2">
      <c r="A8" s="2" t="s">
        <v>474</v>
      </c>
      <c r="B8" s="2" t="s">
        <v>475</v>
      </c>
    </row>
    <row r="9" spans="1:2" ht="80" x14ac:dyDescent="0.2">
      <c r="A9" s="2" t="s">
        <v>476</v>
      </c>
      <c r="B9" s="2" t="s">
        <v>477</v>
      </c>
    </row>
  </sheetData>
  <mergeCells count="1">
    <mergeCell ref="A1:A2"/>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
  <sheetViews>
    <sheetView workbookViewId="0"/>
  </sheetViews>
  <sheetFormatPr baseColWidth="10" defaultColWidth="8.83203125" defaultRowHeight="15" x14ac:dyDescent="0.2"/>
  <cols>
    <col min="1" max="1" width="64" customWidth="1"/>
    <col min="2" max="2" width="80" customWidth="1"/>
  </cols>
  <sheetData>
    <row r="1" spans="1:2" ht="16" x14ac:dyDescent="0.2">
      <c r="A1" s="59" t="s">
        <v>478</v>
      </c>
      <c r="B1" s="12" t="s">
        <v>1</v>
      </c>
    </row>
    <row r="2" spans="1:2" ht="16" x14ac:dyDescent="0.2">
      <c r="A2" s="60"/>
      <c r="B2" s="12" t="s">
        <v>2</v>
      </c>
    </row>
    <row r="3" spans="1:2" ht="16" x14ac:dyDescent="0.2">
      <c r="A3" s="1" t="s">
        <v>337</v>
      </c>
      <c r="B3" s="2" t="s">
        <v>5</v>
      </c>
    </row>
    <row r="4" spans="1:2" ht="64" x14ac:dyDescent="0.2">
      <c r="A4" s="2" t="s">
        <v>479</v>
      </c>
      <c r="B4" s="2" t="s">
        <v>480</v>
      </c>
    </row>
  </sheetData>
  <mergeCells count="1">
    <mergeCell ref="A1:A2"/>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4"/>
  <sheetViews>
    <sheetView workbookViewId="0"/>
  </sheetViews>
  <sheetFormatPr baseColWidth="10" defaultColWidth="8.83203125" defaultRowHeight="15" x14ac:dyDescent="0.2"/>
  <cols>
    <col min="1" max="1" width="56" customWidth="1"/>
    <col min="2" max="2" width="80" customWidth="1"/>
  </cols>
  <sheetData>
    <row r="1" spans="1:2" ht="16" x14ac:dyDescent="0.2">
      <c r="A1" s="59" t="s">
        <v>481</v>
      </c>
      <c r="B1" s="12" t="s">
        <v>1</v>
      </c>
    </row>
    <row r="2" spans="1:2" ht="16" x14ac:dyDescent="0.2">
      <c r="A2" s="60"/>
      <c r="B2" s="12" t="s">
        <v>2</v>
      </c>
    </row>
    <row r="3" spans="1:2" ht="16" x14ac:dyDescent="0.2">
      <c r="A3" s="1" t="s">
        <v>340</v>
      </c>
      <c r="B3" s="2" t="s">
        <v>5</v>
      </c>
    </row>
    <row r="4" spans="1:2" ht="112" x14ac:dyDescent="0.2">
      <c r="A4" s="2" t="s">
        <v>482</v>
      </c>
      <c r="B4" s="2" t="s">
        <v>483</v>
      </c>
    </row>
  </sheetData>
  <mergeCells count="1">
    <mergeCell ref="A1:A2"/>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4"/>
  <sheetViews>
    <sheetView workbookViewId="0"/>
  </sheetViews>
  <sheetFormatPr baseColWidth="10" defaultColWidth="8.83203125" defaultRowHeight="15" x14ac:dyDescent="0.2"/>
  <cols>
    <col min="1" max="1" width="32" customWidth="1"/>
    <col min="2" max="2" width="80" customWidth="1"/>
  </cols>
  <sheetData>
    <row r="1" spans="1:2" ht="16" x14ac:dyDescent="0.2">
      <c r="A1" s="59" t="s">
        <v>484</v>
      </c>
      <c r="B1" s="12" t="s">
        <v>1</v>
      </c>
    </row>
    <row r="2" spans="1:2" ht="16" x14ac:dyDescent="0.2">
      <c r="A2" s="60"/>
      <c r="B2" s="12" t="s">
        <v>2</v>
      </c>
    </row>
    <row r="3" spans="1:2" ht="16" x14ac:dyDescent="0.2">
      <c r="A3" s="1" t="s">
        <v>343</v>
      </c>
      <c r="B3" s="2" t="s">
        <v>5</v>
      </c>
    </row>
    <row r="4" spans="1:2" ht="80" x14ac:dyDescent="0.2">
      <c r="A4" s="2" t="s">
        <v>485</v>
      </c>
      <c r="B4" s="2" t="s">
        <v>486</v>
      </c>
    </row>
  </sheetData>
  <mergeCells count="1">
    <mergeCell ref="A1:A2"/>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4"/>
  <sheetViews>
    <sheetView workbookViewId="0"/>
  </sheetViews>
  <sheetFormatPr baseColWidth="10" defaultColWidth="8.83203125" defaultRowHeight="15" x14ac:dyDescent="0.2"/>
  <cols>
    <col min="1" max="1" width="44" customWidth="1"/>
    <col min="2" max="2" width="80" customWidth="1"/>
  </cols>
  <sheetData>
    <row r="1" spans="1:2" ht="16" x14ac:dyDescent="0.2">
      <c r="A1" s="59" t="s">
        <v>487</v>
      </c>
      <c r="B1" s="12" t="s">
        <v>1</v>
      </c>
    </row>
    <row r="2" spans="1:2" ht="16" x14ac:dyDescent="0.2">
      <c r="A2" s="60"/>
      <c r="B2" s="12" t="s">
        <v>2</v>
      </c>
    </row>
    <row r="3" spans="1:2" ht="16" x14ac:dyDescent="0.2">
      <c r="A3" s="1" t="s">
        <v>346</v>
      </c>
      <c r="B3" s="2" t="s">
        <v>5</v>
      </c>
    </row>
    <row r="4" spans="1:2" ht="64" x14ac:dyDescent="0.2">
      <c r="A4" s="2" t="s">
        <v>488</v>
      </c>
      <c r="B4" s="2" t="s">
        <v>489</v>
      </c>
    </row>
  </sheetData>
  <mergeCells count="1">
    <mergeCell ref="A1:A2"/>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8"/>
  <sheetViews>
    <sheetView workbookViewId="0"/>
  </sheetViews>
  <sheetFormatPr baseColWidth="10" defaultColWidth="8.83203125" defaultRowHeight="15" x14ac:dyDescent="0.2"/>
  <cols>
    <col min="1" max="2" width="80" customWidth="1"/>
  </cols>
  <sheetData>
    <row r="1" spans="1:2" ht="16" x14ac:dyDescent="0.2">
      <c r="A1" s="59" t="s">
        <v>490</v>
      </c>
      <c r="B1" s="12" t="s">
        <v>1</v>
      </c>
    </row>
    <row r="2" spans="1:2" ht="16" x14ac:dyDescent="0.2">
      <c r="A2" s="60"/>
      <c r="B2" s="12" t="s">
        <v>2</v>
      </c>
    </row>
    <row r="3" spans="1:2" ht="16" x14ac:dyDescent="0.2">
      <c r="A3" s="1" t="s">
        <v>349</v>
      </c>
      <c r="B3" s="2" t="s">
        <v>5</v>
      </c>
    </row>
    <row r="4" spans="1:2" ht="80" x14ac:dyDescent="0.2">
      <c r="A4" s="2" t="s">
        <v>491</v>
      </c>
      <c r="B4" s="2" t="s">
        <v>492</v>
      </c>
    </row>
    <row r="5" spans="1:2" ht="48" x14ac:dyDescent="0.2">
      <c r="A5" s="2" t="s">
        <v>493</v>
      </c>
      <c r="B5" s="2" t="s">
        <v>494</v>
      </c>
    </row>
    <row r="6" spans="1:2" ht="64" x14ac:dyDescent="0.2">
      <c r="A6" s="2" t="s">
        <v>495</v>
      </c>
      <c r="B6" s="2" t="s">
        <v>496</v>
      </c>
    </row>
    <row r="7" spans="1:2" ht="96" x14ac:dyDescent="0.2">
      <c r="A7" s="2" t="s">
        <v>497</v>
      </c>
      <c r="B7" s="2" t="s">
        <v>498</v>
      </c>
    </row>
    <row r="8" spans="1:2" ht="80" x14ac:dyDescent="0.2">
      <c r="A8" s="2" t="s">
        <v>499</v>
      </c>
      <c r="B8" s="2" t="s">
        <v>500</v>
      </c>
    </row>
  </sheetData>
  <mergeCells count="1">
    <mergeCell ref="A1:A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4"/>
  <sheetViews>
    <sheetView workbookViewId="0"/>
  </sheetViews>
  <sheetFormatPr baseColWidth="10" defaultColWidth="8.83203125" defaultRowHeight="15" x14ac:dyDescent="0.2"/>
  <cols>
    <col min="1" max="1" width="42" customWidth="1"/>
    <col min="2" max="2" width="80" customWidth="1"/>
  </cols>
  <sheetData>
    <row r="1" spans="1:2" ht="16" x14ac:dyDescent="0.2">
      <c r="A1" s="59" t="s">
        <v>501</v>
      </c>
      <c r="B1" s="12" t="s">
        <v>1</v>
      </c>
    </row>
    <row r="2" spans="1:2" ht="16" x14ac:dyDescent="0.2">
      <c r="A2" s="60"/>
      <c r="B2" s="12" t="s">
        <v>2</v>
      </c>
    </row>
    <row r="3" spans="1:2" ht="16" x14ac:dyDescent="0.2">
      <c r="A3" s="1" t="s">
        <v>353</v>
      </c>
      <c r="B3" s="2" t="s">
        <v>5</v>
      </c>
    </row>
    <row r="4" spans="1:2" ht="64" x14ac:dyDescent="0.2">
      <c r="A4" s="2" t="s">
        <v>502</v>
      </c>
      <c r="B4" s="2" t="s">
        <v>503</v>
      </c>
    </row>
  </sheetData>
  <mergeCells count="1">
    <mergeCell ref="A1:A2"/>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5"/>
  <sheetViews>
    <sheetView workbookViewId="0"/>
  </sheetViews>
  <sheetFormatPr baseColWidth="10" defaultColWidth="8.83203125" defaultRowHeight="15" x14ac:dyDescent="0.2"/>
  <cols>
    <col min="1" max="1" width="38" customWidth="1"/>
    <col min="2" max="2" width="80" customWidth="1"/>
  </cols>
  <sheetData>
    <row r="1" spans="1:2" ht="16" x14ac:dyDescent="0.2">
      <c r="A1" s="59" t="s">
        <v>504</v>
      </c>
      <c r="B1" s="12" t="s">
        <v>1</v>
      </c>
    </row>
    <row r="2" spans="1:2" ht="16" x14ac:dyDescent="0.2">
      <c r="A2" s="60"/>
      <c r="B2" s="12" t="s">
        <v>2</v>
      </c>
    </row>
    <row r="3" spans="1:2" ht="16" x14ac:dyDescent="0.2">
      <c r="A3" s="1" t="s">
        <v>355</v>
      </c>
      <c r="B3" s="2" t="s">
        <v>5</v>
      </c>
    </row>
    <row r="4" spans="1:2" ht="128" x14ac:dyDescent="0.2">
      <c r="A4" s="2" t="s">
        <v>505</v>
      </c>
      <c r="B4" s="2" t="s">
        <v>506</v>
      </c>
    </row>
    <row r="5" spans="1:2" ht="48" x14ac:dyDescent="0.2">
      <c r="A5" s="2" t="s">
        <v>507</v>
      </c>
      <c r="B5" s="2" t="s">
        <v>508</v>
      </c>
    </row>
  </sheetData>
  <mergeCells count="1">
    <mergeCell ref="A1:A2"/>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5"/>
  <sheetViews>
    <sheetView workbookViewId="0"/>
  </sheetViews>
  <sheetFormatPr baseColWidth="10" defaultColWidth="8.83203125" defaultRowHeight="15" x14ac:dyDescent="0.2"/>
  <cols>
    <col min="1" max="1" width="79" customWidth="1"/>
    <col min="2" max="2" width="80" customWidth="1"/>
  </cols>
  <sheetData>
    <row r="1" spans="1:2" ht="16" x14ac:dyDescent="0.2">
      <c r="A1" s="59" t="s">
        <v>509</v>
      </c>
      <c r="B1" s="12" t="s">
        <v>1</v>
      </c>
    </row>
    <row r="2" spans="1:2" ht="16" x14ac:dyDescent="0.2">
      <c r="A2" s="60"/>
      <c r="B2" s="12" t="s">
        <v>2</v>
      </c>
    </row>
    <row r="3" spans="1:2" ht="16" x14ac:dyDescent="0.2">
      <c r="A3" s="1" t="s">
        <v>358</v>
      </c>
      <c r="B3" s="2" t="s">
        <v>5</v>
      </c>
    </row>
    <row r="4" spans="1:2" ht="80" x14ac:dyDescent="0.2">
      <c r="A4" s="2" t="s">
        <v>510</v>
      </c>
      <c r="B4" s="2" t="s">
        <v>511</v>
      </c>
    </row>
    <row r="5" spans="1:2" ht="48" x14ac:dyDescent="0.2">
      <c r="A5" s="2" t="s">
        <v>512</v>
      </c>
      <c r="B5" s="2" t="s">
        <v>513</v>
      </c>
    </row>
  </sheetData>
  <mergeCells count="1">
    <mergeCell ref="A1:A2"/>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8"/>
  <sheetViews>
    <sheetView workbookViewId="0"/>
  </sheetViews>
  <sheetFormatPr baseColWidth="10" defaultColWidth="8.83203125" defaultRowHeight="15" x14ac:dyDescent="0.2"/>
  <cols>
    <col min="1" max="1" width="76" customWidth="1"/>
    <col min="2" max="2" width="80" customWidth="1"/>
  </cols>
  <sheetData>
    <row r="1" spans="1:2" ht="16" x14ac:dyDescent="0.2">
      <c r="A1" s="59" t="s">
        <v>514</v>
      </c>
      <c r="B1" s="12" t="s">
        <v>1</v>
      </c>
    </row>
    <row r="2" spans="1:2" ht="16" x14ac:dyDescent="0.2">
      <c r="A2" s="60"/>
      <c r="B2" s="12" t="s">
        <v>2</v>
      </c>
    </row>
    <row r="3" spans="1:2" ht="16" x14ac:dyDescent="0.2">
      <c r="A3" s="1" t="s">
        <v>361</v>
      </c>
      <c r="B3" s="2" t="s">
        <v>5</v>
      </c>
    </row>
    <row r="4" spans="1:2" ht="96" x14ac:dyDescent="0.2">
      <c r="A4" s="2" t="s">
        <v>515</v>
      </c>
      <c r="B4" s="2" t="s">
        <v>516</v>
      </c>
    </row>
    <row r="5" spans="1:2" ht="64" x14ac:dyDescent="0.2">
      <c r="A5" s="2" t="s">
        <v>517</v>
      </c>
      <c r="B5" s="2" t="s">
        <v>518</v>
      </c>
    </row>
    <row r="6" spans="1:2" ht="64" x14ac:dyDescent="0.2">
      <c r="A6" s="2" t="s">
        <v>519</v>
      </c>
      <c r="B6" s="2" t="s">
        <v>520</v>
      </c>
    </row>
    <row r="7" spans="1:2" ht="64" x14ac:dyDescent="0.2">
      <c r="A7" s="2" t="s">
        <v>521</v>
      </c>
      <c r="B7" s="2" t="s">
        <v>522</v>
      </c>
    </row>
    <row r="8" spans="1:2" ht="32" x14ac:dyDescent="0.2">
      <c r="A8" s="2" t="s">
        <v>523</v>
      </c>
      <c r="B8" s="2" t="s">
        <v>524</v>
      </c>
    </row>
  </sheetData>
  <mergeCells count="1">
    <mergeCell ref="A1:A2"/>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4"/>
  <sheetViews>
    <sheetView workbookViewId="0"/>
  </sheetViews>
  <sheetFormatPr baseColWidth="10" defaultColWidth="8.83203125" defaultRowHeight="15" x14ac:dyDescent="0.2"/>
  <cols>
    <col min="1" max="1" width="50" customWidth="1"/>
    <col min="2" max="2" width="80" customWidth="1"/>
  </cols>
  <sheetData>
    <row r="1" spans="1:2" ht="16" x14ac:dyDescent="0.2">
      <c r="A1" s="59" t="s">
        <v>525</v>
      </c>
      <c r="B1" s="12" t="s">
        <v>1</v>
      </c>
    </row>
    <row r="2" spans="1:2" ht="16" x14ac:dyDescent="0.2">
      <c r="A2" s="60"/>
      <c r="B2" s="12" t="s">
        <v>2</v>
      </c>
    </row>
    <row r="3" spans="1:2" ht="16" x14ac:dyDescent="0.2">
      <c r="A3" s="1" t="s">
        <v>364</v>
      </c>
      <c r="B3" s="2" t="s">
        <v>5</v>
      </c>
    </row>
    <row r="4" spans="1:2" ht="80" x14ac:dyDescent="0.2">
      <c r="A4" s="2" t="s">
        <v>526</v>
      </c>
      <c r="B4" s="2" t="s">
        <v>527</v>
      </c>
    </row>
  </sheetData>
  <mergeCells count="1">
    <mergeCell ref="A1:A2"/>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6"/>
  <sheetViews>
    <sheetView workbookViewId="0"/>
  </sheetViews>
  <sheetFormatPr baseColWidth="10" defaultColWidth="8.83203125" defaultRowHeight="15" x14ac:dyDescent="0.2"/>
  <cols>
    <col min="1" max="1" width="68" customWidth="1"/>
    <col min="2" max="2" width="80" customWidth="1"/>
  </cols>
  <sheetData>
    <row r="1" spans="1:2" ht="16" x14ac:dyDescent="0.2">
      <c r="A1" s="59" t="s">
        <v>528</v>
      </c>
      <c r="B1" s="12" t="s">
        <v>1</v>
      </c>
    </row>
    <row r="2" spans="1:2" ht="16" x14ac:dyDescent="0.2">
      <c r="A2" s="60"/>
      <c r="B2" s="12" t="s">
        <v>2</v>
      </c>
    </row>
    <row r="3" spans="1:2" ht="16" x14ac:dyDescent="0.2">
      <c r="A3" s="1" t="s">
        <v>367</v>
      </c>
      <c r="B3" s="2" t="s">
        <v>5</v>
      </c>
    </row>
    <row r="4" spans="1:2" ht="48" x14ac:dyDescent="0.2">
      <c r="A4" s="2" t="s">
        <v>529</v>
      </c>
      <c r="B4" s="2" t="s">
        <v>530</v>
      </c>
    </row>
    <row r="5" spans="1:2" ht="80" x14ac:dyDescent="0.2">
      <c r="A5" s="2" t="s">
        <v>531</v>
      </c>
      <c r="B5" s="2" t="s">
        <v>532</v>
      </c>
    </row>
    <row r="6" spans="1:2" ht="48" x14ac:dyDescent="0.2">
      <c r="A6" s="2" t="s">
        <v>533</v>
      </c>
      <c r="B6" s="2" t="s">
        <v>534</v>
      </c>
    </row>
  </sheetData>
  <mergeCells count="1">
    <mergeCell ref="A1:A2"/>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13"/>
  <sheetViews>
    <sheetView workbookViewId="0"/>
  </sheetViews>
  <sheetFormatPr baseColWidth="10" defaultColWidth="8.83203125" defaultRowHeight="15" x14ac:dyDescent="0.2"/>
  <cols>
    <col min="1" max="2" width="80" customWidth="1"/>
  </cols>
  <sheetData>
    <row r="1" spans="1:2" ht="16" x14ac:dyDescent="0.2">
      <c r="A1" s="59" t="s">
        <v>535</v>
      </c>
      <c r="B1" s="12" t="s">
        <v>1</v>
      </c>
    </row>
    <row r="2" spans="1:2" ht="16" x14ac:dyDescent="0.2">
      <c r="A2" s="60"/>
      <c r="B2" s="12" t="s">
        <v>2</v>
      </c>
    </row>
    <row r="3" spans="1:2" ht="16" x14ac:dyDescent="0.2">
      <c r="A3" s="1" t="s">
        <v>370</v>
      </c>
      <c r="B3" s="2" t="s">
        <v>5</v>
      </c>
    </row>
    <row r="4" spans="1:2" ht="144" x14ac:dyDescent="0.2">
      <c r="A4" s="2" t="s">
        <v>536</v>
      </c>
      <c r="B4" s="2" t="s">
        <v>537</v>
      </c>
    </row>
    <row r="5" spans="1:2" ht="224" x14ac:dyDescent="0.2">
      <c r="A5" s="2" t="s">
        <v>538</v>
      </c>
      <c r="B5" s="2" t="s">
        <v>539</v>
      </c>
    </row>
    <row r="6" spans="1:2" ht="64" x14ac:dyDescent="0.2">
      <c r="A6" s="2" t="s">
        <v>540</v>
      </c>
      <c r="B6" s="2" t="s">
        <v>541</v>
      </c>
    </row>
    <row r="7" spans="1:2" ht="64" x14ac:dyDescent="0.2">
      <c r="A7" s="2" t="s">
        <v>542</v>
      </c>
      <c r="B7" s="2" t="s">
        <v>543</v>
      </c>
    </row>
    <row r="8" spans="1:2" ht="96" x14ac:dyDescent="0.2">
      <c r="A8" s="2" t="s">
        <v>544</v>
      </c>
      <c r="B8" s="2" t="s">
        <v>545</v>
      </c>
    </row>
    <row r="9" spans="1:2" ht="48" x14ac:dyDescent="0.2">
      <c r="A9" s="2" t="s">
        <v>546</v>
      </c>
      <c r="B9" s="2" t="s">
        <v>547</v>
      </c>
    </row>
    <row r="10" spans="1:2" ht="64" x14ac:dyDescent="0.2">
      <c r="A10" s="2" t="s">
        <v>548</v>
      </c>
      <c r="B10" s="2" t="s">
        <v>549</v>
      </c>
    </row>
    <row r="11" spans="1:2" ht="288" x14ac:dyDescent="0.2">
      <c r="A11" s="2" t="s">
        <v>550</v>
      </c>
      <c r="B11" s="2" t="s">
        <v>551</v>
      </c>
    </row>
    <row r="12" spans="1:2" ht="160" x14ac:dyDescent="0.2">
      <c r="A12" s="2" t="s">
        <v>552</v>
      </c>
      <c r="B12" s="2" t="s">
        <v>553</v>
      </c>
    </row>
    <row r="13" spans="1:2" ht="96" x14ac:dyDescent="0.2">
      <c r="A13" s="2" t="s">
        <v>554</v>
      </c>
      <c r="B13" s="2" t="s">
        <v>555</v>
      </c>
    </row>
  </sheetData>
  <mergeCells count="1">
    <mergeCell ref="A1:A2"/>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7"/>
  <sheetViews>
    <sheetView workbookViewId="0"/>
  </sheetViews>
  <sheetFormatPr baseColWidth="10" defaultColWidth="8.83203125" defaultRowHeight="15" x14ac:dyDescent="0.2"/>
  <cols>
    <col min="1" max="1" width="76" customWidth="1"/>
    <col min="2" max="2" width="80" customWidth="1"/>
  </cols>
  <sheetData>
    <row r="1" spans="1:2" ht="16" x14ac:dyDescent="0.2">
      <c r="A1" s="59" t="s">
        <v>556</v>
      </c>
      <c r="B1" s="12" t="s">
        <v>1</v>
      </c>
    </row>
    <row r="2" spans="1:2" ht="16" x14ac:dyDescent="0.2">
      <c r="A2" s="60"/>
      <c r="B2" s="12" t="s">
        <v>2</v>
      </c>
    </row>
    <row r="3" spans="1:2" ht="16" x14ac:dyDescent="0.2">
      <c r="A3" s="1" t="s">
        <v>373</v>
      </c>
      <c r="B3" s="2" t="s">
        <v>5</v>
      </c>
    </row>
    <row r="4" spans="1:2" ht="48" x14ac:dyDescent="0.2">
      <c r="A4" s="2" t="s">
        <v>557</v>
      </c>
      <c r="B4" s="2" t="s">
        <v>558</v>
      </c>
    </row>
    <row r="5" spans="1:2" ht="48" x14ac:dyDescent="0.2">
      <c r="A5" s="2" t="s">
        <v>559</v>
      </c>
      <c r="B5" s="2" t="s">
        <v>560</v>
      </c>
    </row>
    <row r="6" spans="1:2" ht="80" x14ac:dyDescent="0.2">
      <c r="A6" s="2" t="s">
        <v>561</v>
      </c>
      <c r="B6" s="2" t="s">
        <v>562</v>
      </c>
    </row>
    <row r="7" spans="1:2" ht="96" x14ac:dyDescent="0.2">
      <c r="A7" s="2" t="s">
        <v>563</v>
      </c>
      <c r="B7" s="2" t="s">
        <v>564</v>
      </c>
    </row>
  </sheetData>
  <mergeCells count="1">
    <mergeCell ref="A1:A2"/>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5"/>
  <sheetViews>
    <sheetView workbookViewId="0"/>
  </sheetViews>
  <sheetFormatPr baseColWidth="10" defaultColWidth="8.83203125" defaultRowHeight="15" x14ac:dyDescent="0.2"/>
  <cols>
    <col min="1" max="1" width="58" customWidth="1"/>
    <col min="2" max="2" width="80" customWidth="1"/>
  </cols>
  <sheetData>
    <row r="1" spans="1:4" ht="16" x14ac:dyDescent="0.2">
      <c r="A1" s="59" t="s">
        <v>565</v>
      </c>
      <c r="B1" s="12" t="s">
        <v>1</v>
      </c>
    </row>
    <row r="2" spans="1:4" ht="16" x14ac:dyDescent="0.2">
      <c r="A2" s="60"/>
      <c r="B2" s="12" t="s">
        <v>2</v>
      </c>
    </row>
    <row r="3" spans="1:4" ht="16" x14ac:dyDescent="0.2">
      <c r="A3" s="1" t="s">
        <v>376</v>
      </c>
      <c r="B3" s="2" t="s">
        <v>5</v>
      </c>
    </row>
    <row r="4" spans="1:4" ht="80" x14ac:dyDescent="0.2">
      <c r="A4" s="2" t="s">
        <v>566</v>
      </c>
      <c r="B4" s="2" t="s">
        <v>567</v>
      </c>
      <c r="D4">
        <v>0.28462500000000002</v>
      </c>
    </row>
    <row r="5" spans="1:4" ht="350" x14ac:dyDescent="0.2">
      <c r="A5" s="2" t="s">
        <v>568</v>
      </c>
      <c r="B5" s="2" t="s">
        <v>569</v>
      </c>
    </row>
  </sheetData>
  <mergeCells count="1">
    <mergeCell ref="A1:A2"/>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6"/>
  <sheetViews>
    <sheetView workbookViewId="0"/>
  </sheetViews>
  <sheetFormatPr baseColWidth="10" defaultColWidth="8.83203125" defaultRowHeight="15" x14ac:dyDescent="0.2"/>
  <cols>
    <col min="1" max="2" width="80" customWidth="1"/>
  </cols>
  <sheetData>
    <row r="1" spans="1:2" ht="16" x14ac:dyDescent="0.2">
      <c r="A1" s="59" t="s">
        <v>570</v>
      </c>
      <c r="B1" s="12" t="s">
        <v>1</v>
      </c>
    </row>
    <row r="2" spans="1:2" ht="16" x14ac:dyDescent="0.2">
      <c r="A2" s="60"/>
      <c r="B2" s="12" t="s">
        <v>2</v>
      </c>
    </row>
    <row r="3" spans="1:2" ht="16" x14ac:dyDescent="0.2">
      <c r="A3" s="1" t="s">
        <v>379</v>
      </c>
      <c r="B3" s="2" t="s">
        <v>5</v>
      </c>
    </row>
    <row r="4" spans="1:2" ht="128" x14ac:dyDescent="0.2">
      <c r="A4" s="2" t="s">
        <v>571</v>
      </c>
      <c r="B4" s="2" t="s">
        <v>572</v>
      </c>
    </row>
    <row r="5" spans="1:2" ht="64" x14ac:dyDescent="0.2">
      <c r="A5" s="2" t="s">
        <v>573</v>
      </c>
      <c r="B5" s="2" t="s">
        <v>574</v>
      </c>
    </row>
    <row r="6" spans="1:2" ht="64" x14ac:dyDescent="0.2">
      <c r="A6" s="2" t="s">
        <v>575</v>
      </c>
      <c r="B6" s="2" t="s">
        <v>576</v>
      </c>
    </row>
  </sheetData>
  <mergeCells count="1">
    <mergeCell ref="A1:A2"/>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6"/>
  <sheetViews>
    <sheetView workbookViewId="0"/>
  </sheetViews>
  <sheetFormatPr baseColWidth="10" defaultColWidth="8.83203125" defaultRowHeight="15" x14ac:dyDescent="0.2"/>
  <cols>
    <col min="1" max="1" width="76" customWidth="1"/>
    <col min="2" max="2" width="80" customWidth="1"/>
  </cols>
  <sheetData>
    <row r="1" spans="1:2" ht="16" x14ac:dyDescent="0.2">
      <c r="A1" s="59" t="s">
        <v>577</v>
      </c>
      <c r="B1" s="12" t="s">
        <v>1</v>
      </c>
    </row>
    <row r="2" spans="1:2" ht="16" x14ac:dyDescent="0.2">
      <c r="A2" s="60"/>
      <c r="B2" s="12" t="s">
        <v>2</v>
      </c>
    </row>
    <row r="3" spans="1:2" ht="16" x14ac:dyDescent="0.2">
      <c r="A3" s="1" t="s">
        <v>382</v>
      </c>
      <c r="B3" s="2" t="s">
        <v>5</v>
      </c>
    </row>
    <row r="4" spans="1:2" ht="112" x14ac:dyDescent="0.2">
      <c r="A4" s="2" t="s">
        <v>578</v>
      </c>
      <c r="B4" s="2" t="s">
        <v>579</v>
      </c>
    </row>
    <row r="5" spans="1:2" ht="80" x14ac:dyDescent="0.2">
      <c r="A5" s="2" t="s">
        <v>580</v>
      </c>
      <c r="B5" s="2" t="s">
        <v>581</v>
      </c>
    </row>
    <row r="6" spans="1:2" ht="112" x14ac:dyDescent="0.2">
      <c r="A6" s="2" t="s">
        <v>582</v>
      </c>
      <c r="B6" s="2" t="s">
        <v>583</v>
      </c>
    </row>
  </sheetData>
  <mergeCells count="1">
    <mergeCell ref="A1:A2"/>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10"/>
  <sheetViews>
    <sheetView workbookViewId="0"/>
  </sheetViews>
  <sheetFormatPr baseColWidth="10" defaultColWidth="8.83203125" defaultRowHeight="15" x14ac:dyDescent="0.2"/>
  <cols>
    <col min="1" max="2" width="80" customWidth="1"/>
  </cols>
  <sheetData>
    <row r="1" spans="1:2" ht="16" x14ac:dyDescent="0.2">
      <c r="A1" s="59" t="s">
        <v>584</v>
      </c>
      <c r="B1" s="12" t="s">
        <v>1</v>
      </c>
    </row>
    <row r="2" spans="1:2" ht="16" x14ac:dyDescent="0.2">
      <c r="A2" s="60"/>
      <c r="B2" s="12" t="s">
        <v>2</v>
      </c>
    </row>
    <row r="3" spans="1:2" ht="16" x14ac:dyDescent="0.2">
      <c r="A3" s="1" t="s">
        <v>388</v>
      </c>
      <c r="B3" s="2" t="s">
        <v>5</v>
      </c>
    </row>
    <row r="4" spans="1:2" ht="96" x14ac:dyDescent="0.2">
      <c r="A4" s="2" t="s">
        <v>585</v>
      </c>
      <c r="B4" s="2" t="s">
        <v>586</v>
      </c>
    </row>
    <row r="5" spans="1:2" ht="335" x14ac:dyDescent="0.2">
      <c r="A5" s="2" t="s">
        <v>587</v>
      </c>
      <c r="B5" s="2" t="s">
        <v>588</v>
      </c>
    </row>
    <row r="6" spans="1:2" ht="80" x14ac:dyDescent="0.2">
      <c r="A6" s="2" t="s">
        <v>589</v>
      </c>
      <c r="B6" s="2" t="s">
        <v>590</v>
      </c>
    </row>
    <row r="7" spans="1:2" ht="64" x14ac:dyDescent="0.2">
      <c r="A7" s="2" t="s">
        <v>591</v>
      </c>
      <c r="B7" s="2" t="s">
        <v>592</v>
      </c>
    </row>
    <row r="8" spans="1:2" ht="48" x14ac:dyDescent="0.2">
      <c r="A8" s="2" t="s">
        <v>593</v>
      </c>
      <c r="B8" s="2" t="s">
        <v>594</v>
      </c>
    </row>
    <row r="9" spans="1:2" ht="48" x14ac:dyDescent="0.2">
      <c r="A9" s="2" t="s">
        <v>595</v>
      </c>
      <c r="B9" s="2" t="s">
        <v>596</v>
      </c>
    </row>
    <row r="10" spans="1:2" ht="160" x14ac:dyDescent="0.2">
      <c r="A10" s="2" t="s">
        <v>597</v>
      </c>
      <c r="B10" s="2" t="s">
        <v>598</v>
      </c>
    </row>
  </sheetData>
  <mergeCells count="1">
    <mergeCell ref="A1:A2"/>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32"/>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599</v>
      </c>
      <c r="B1" s="61" t="s">
        <v>1</v>
      </c>
      <c r="C1" s="60"/>
      <c r="D1" s="60"/>
    </row>
    <row r="2" spans="1:4" ht="16" x14ac:dyDescent="0.2">
      <c r="A2" s="60"/>
      <c r="B2" s="12" t="s">
        <v>2</v>
      </c>
      <c r="C2" s="12" t="s">
        <v>75</v>
      </c>
      <c r="D2" s="12" t="s">
        <v>76</v>
      </c>
    </row>
    <row r="3" spans="1:4" ht="16" x14ac:dyDescent="0.2">
      <c r="A3" s="1" t="s">
        <v>600</v>
      </c>
      <c r="B3" s="2" t="s">
        <v>5</v>
      </c>
      <c r="C3" s="2" t="s">
        <v>5</v>
      </c>
      <c r="D3" s="2" t="s">
        <v>5</v>
      </c>
    </row>
    <row r="4" spans="1:4" ht="16" x14ac:dyDescent="0.2">
      <c r="A4" s="2" t="s">
        <v>77</v>
      </c>
      <c r="B4" s="5">
        <v>77794</v>
      </c>
      <c r="C4" s="5">
        <v>66608</v>
      </c>
      <c r="D4" s="5">
        <v>62286</v>
      </c>
    </row>
    <row r="5" spans="1:4" ht="16" x14ac:dyDescent="0.2">
      <c r="A5" s="2" t="s">
        <v>601</v>
      </c>
      <c r="B5" s="4">
        <v>-773</v>
      </c>
      <c r="C5" s="4">
        <v>-3519</v>
      </c>
      <c r="D5" s="4">
        <v>-2870</v>
      </c>
    </row>
    <row r="6" spans="1:4" ht="16" x14ac:dyDescent="0.2">
      <c r="A6" s="2" t="s">
        <v>85</v>
      </c>
      <c r="B6" s="4">
        <v>1227</v>
      </c>
      <c r="C6" s="4">
        <v>1058</v>
      </c>
      <c r="D6" s="4">
        <v>551</v>
      </c>
    </row>
    <row r="7" spans="1:4" ht="16" x14ac:dyDescent="0.2">
      <c r="A7" s="2" t="s">
        <v>87</v>
      </c>
      <c r="B7" s="4">
        <v>-2459</v>
      </c>
      <c r="C7" s="4">
        <v>-2561</v>
      </c>
      <c r="D7" s="4">
        <v>-2714</v>
      </c>
    </row>
    <row r="8" spans="1:4" ht="16" x14ac:dyDescent="0.2">
      <c r="A8" s="2" t="s">
        <v>88</v>
      </c>
      <c r="B8" s="4">
        <v>-2005</v>
      </c>
      <c r="C8" s="4">
        <v>-5022</v>
      </c>
      <c r="D8" s="4">
        <v>-5033</v>
      </c>
    </row>
    <row r="9" spans="1:4" ht="16" x14ac:dyDescent="0.2">
      <c r="A9" s="2" t="s">
        <v>89</v>
      </c>
      <c r="B9" s="4">
        <v>-237</v>
      </c>
      <c r="C9" s="4">
        <v>-31</v>
      </c>
      <c r="D9" s="4">
        <v>743</v>
      </c>
    </row>
    <row r="10" spans="1:4" ht="16" x14ac:dyDescent="0.2">
      <c r="A10" s="2" t="s">
        <v>90</v>
      </c>
      <c r="B10" s="4">
        <v>-2242</v>
      </c>
      <c r="C10" s="4">
        <v>-5053</v>
      </c>
      <c r="D10" s="4">
        <v>-4290</v>
      </c>
    </row>
    <row r="11" spans="1:4" ht="16" x14ac:dyDescent="0.2">
      <c r="A11" s="2" t="s">
        <v>91</v>
      </c>
      <c r="B11" s="4">
        <v>-20</v>
      </c>
      <c r="C11" s="4">
        <v>-118</v>
      </c>
      <c r="D11" s="4">
        <v>-88</v>
      </c>
    </row>
    <row r="12" spans="1:4" ht="16" x14ac:dyDescent="0.2">
      <c r="A12" s="2" t="s">
        <v>92</v>
      </c>
      <c r="B12" s="4">
        <v>-2222</v>
      </c>
      <c r="C12" s="4">
        <v>-4935</v>
      </c>
      <c r="D12" s="4">
        <v>-4202</v>
      </c>
    </row>
    <row r="13" spans="1:4" ht="16" x14ac:dyDescent="0.2">
      <c r="A13" s="2" t="s">
        <v>602</v>
      </c>
      <c r="B13" s="2" t="s">
        <v>5</v>
      </c>
      <c r="C13" s="2" t="s">
        <v>5</v>
      </c>
      <c r="D13" s="2" t="s">
        <v>5</v>
      </c>
    </row>
    <row r="14" spans="1:4" ht="16" x14ac:dyDescent="0.2">
      <c r="A14" s="1" t="s">
        <v>600</v>
      </c>
      <c r="B14" s="2" t="s">
        <v>5</v>
      </c>
      <c r="C14" s="2" t="s">
        <v>5</v>
      </c>
      <c r="D14" s="2" t="s">
        <v>5</v>
      </c>
    </row>
    <row r="15" spans="1:4" ht="16" x14ac:dyDescent="0.2">
      <c r="A15" s="2" t="s">
        <v>601</v>
      </c>
      <c r="B15" s="4">
        <v>-70</v>
      </c>
      <c r="C15" s="4">
        <v>-3158</v>
      </c>
      <c r="D15" s="4">
        <v>-2816</v>
      </c>
    </row>
    <row r="16" spans="1:4" ht="16" x14ac:dyDescent="0.2">
      <c r="A16" s="2" t="s">
        <v>603</v>
      </c>
      <c r="B16" s="2" t="s">
        <v>5</v>
      </c>
      <c r="C16" s="2" t="s">
        <v>5</v>
      </c>
      <c r="D16" s="2" t="s">
        <v>5</v>
      </c>
    </row>
    <row r="17" spans="1:4" ht="16" x14ac:dyDescent="0.2">
      <c r="A17" s="1" t="s">
        <v>600</v>
      </c>
      <c r="B17" s="2" t="s">
        <v>5</v>
      </c>
      <c r="C17" s="2" t="s">
        <v>5</v>
      </c>
      <c r="D17" s="2" t="s">
        <v>5</v>
      </c>
    </row>
    <row r="18" spans="1:4" ht="16" x14ac:dyDescent="0.2">
      <c r="A18" s="2" t="s">
        <v>77</v>
      </c>
      <c r="B18" s="4">
        <v>33901</v>
      </c>
      <c r="C18" s="4">
        <v>26026</v>
      </c>
      <c r="D18" s="4">
        <v>19714</v>
      </c>
    </row>
    <row r="19" spans="1:4" ht="16" x14ac:dyDescent="0.2">
      <c r="A19" s="2" t="s">
        <v>601</v>
      </c>
      <c r="B19" s="4">
        <v>-1635</v>
      </c>
      <c r="C19" s="4">
        <v>-2341</v>
      </c>
      <c r="D19" s="4">
        <v>-6377</v>
      </c>
    </row>
    <row r="20" spans="1:4" ht="16" x14ac:dyDescent="0.2">
      <c r="A20" s="2" t="s">
        <v>604</v>
      </c>
      <c r="B20" s="2" t="s">
        <v>5</v>
      </c>
      <c r="C20" s="2" t="s">
        <v>5</v>
      </c>
      <c r="D20" s="2" t="s">
        <v>5</v>
      </c>
    </row>
    <row r="21" spans="1:4" ht="16" x14ac:dyDescent="0.2">
      <c r="A21" s="1" t="s">
        <v>600</v>
      </c>
      <c r="B21" s="2" t="s">
        <v>5</v>
      </c>
      <c r="C21" s="2" t="s">
        <v>5</v>
      </c>
      <c r="D21" s="2" t="s">
        <v>5</v>
      </c>
    </row>
    <row r="22" spans="1:4" ht="16" x14ac:dyDescent="0.2">
      <c r="A22" s="2" t="s">
        <v>77</v>
      </c>
      <c r="B22" s="4">
        <v>24933</v>
      </c>
      <c r="C22" s="4">
        <v>23162</v>
      </c>
      <c r="D22" s="4">
        <v>26540</v>
      </c>
    </row>
    <row r="23" spans="1:4" ht="16" x14ac:dyDescent="0.2">
      <c r="A23" s="2" t="s">
        <v>601</v>
      </c>
      <c r="B23" s="4">
        <v>-1764</v>
      </c>
      <c r="C23" s="4">
        <v>-3544</v>
      </c>
      <c r="D23" s="4">
        <v>1544</v>
      </c>
    </row>
    <row r="24" spans="1:4" ht="16" x14ac:dyDescent="0.2">
      <c r="A24" s="2" t="s">
        <v>605</v>
      </c>
      <c r="B24" s="2" t="s">
        <v>5</v>
      </c>
      <c r="C24" s="2" t="s">
        <v>5</v>
      </c>
      <c r="D24" s="2" t="s">
        <v>5</v>
      </c>
    </row>
    <row r="25" spans="1:4" ht="16" x14ac:dyDescent="0.2">
      <c r="A25" s="1" t="s">
        <v>600</v>
      </c>
      <c r="B25" s="2" t="s">
        <v>5</v>
      </c>
      <c r="C25" s="2" t="s">
        <v>5</v>
      </c>
      <c r="D25" s="2" t="s">
        <v>5</v>
      </c>
    </row>
    <row r="26" spans="1:4" ht="16" x14ac:dyDescent="0.2">
      <c r="A26" s="2" t="s">
        <v>77</v>
      </c>
      <c r="B26" s="4">
        <v>19127</v>
      </c>
      <c r="C26" s="4">
        <v>17611</v>
      </c>
      <c r="D26" s="4">
        <v>16328</v>
      </c>
    </row>
    <row r="27" spans="1:4" ht="16" x14ac:dyDescent="0.2">
      <c r="A27" s="2" t="s">
        <v>601</v>
      </c>
      <c r="B27" s="4">
        <v>3329</v>
      </c>
      <c r="C27" s="4">
        <v>2727</v>
      </c>
      <c r="D27" s="4">
        <v>2017</v>
      </c>
    </row>
    <row r="28" spans="1:4" ht="16" x14ac:dyDescent="0.2">
      <c r="A28" s="2" t="s">
        <v>216</v>
      </c>
      <c r="B28" s="2" t="s">
        <v>5</v>
      </c>
      <c r="C28" s="2" t="s">
        <v>5</v>
      </c>
      <c r="D28" s="2" t="s">
        <v>5</v>
      </c>
    </row>
    <row r="29" spans="1:4" ht="16" x14ac:dyDescent="0.2">
      <c r="A29" s="1" t="s">
        <v>600</v>
      </c>
      <c r="B29" s="2" t="s">
        <v>5</v>
      </c>
      <c r="C29" s="2" t="s">
        <v>5</v>
      </c>
      <c r="D29" s="2" t="s">
        <v>5</v>
      </c>
    </row>
    <row r="30" spans="1:4" ht="16" x14ac:dyDescent="0.2">
      <c r="A30" s="2" t="s">
        <v>77</v>
      </c>
      <c r="B30" s="4">
        <v>-167</v>
      </c>
      <c r="C30" s="4">
        <v>-191</v>
      </c>
      <c r="D30" s="4">
        <v>-296</v>
      </c>
    </row>
    <row r="31" spans="1:4" ht="16" x14ac:dyDescent="0.2">
      <c r="A31" s="2" t="s">
        <v>606</v>
      </c>
      <c r="B31" s="4">
        <v>1759</v>
      </c>
      <c r="C31" s="4">
        <v>1504</v>
      </c>
      <c r="D31" s="4">
        <v>1227</v>
      </c>
    </row>
    <row r="32" spans="1:4" ht="16" x14ac:dyDescent="0.2">
      <c r="A32" s="2" t="s">
        <v>607</v>
      </c>
      <c r="B32" s="5">
        <v>-1056</v>
      </c>
      <c r="C32" s="5">
        <v>-1143</v>
      </c>
      <c r="D32" s="5">
        <v>-1173</v>
      </c>
    </row>
  </sheetData>
  <mergeCells count="2">
    <mergeCell ref="A1:A2"/>
    <mergeCell ref="B1:D1"/>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74"/>
  <sheetViews>
    <sheetView workbookViewId="0"/>
  </sheetViews>
  <sheetFormatPr baseColWidth="10" defaultColWidth="8.83203125" defaultRowHeight="15" x14ac:dyDescent="0.2"/>
  <cols>
    <col min="1" max="1" width="79" customWidth="1"/>
    <col min="2" max="2" width="30" customWidth="1"/>
    <col min="3" max="4" width="22" customWidth="1"/>
  </cols>
  <sheetData>
    <row r="1" spans="1:4" x14ac:dyDescent="0.2">
      <c r="A1" s="59" t="s">
        <v>608</v>
      </c>
      <c r="B1" s="61" t="s">
        <v>1</v>
      </c>
      <c r="C1" s="60"/>
      <c r="D1" s="60"/>
    </row>
    <row r="2" spans="1:4" ht="16" x14ac:dyDescent="0.2">
      <c r="A2" s="60"/>
      <c r="B2" s="12" t="s">
        <v>609</v>
      </c>
      <c r="C2" s="12" t="s">
        <v>610</v>
      </c>
      <c r="D2" s="12" t="s">
        <v>611</v>
      </c>
    </row>
    <row r="3" spans="1:4" ht="16" x14ac:dyDescent="0.2">
      <c r="A3" s="1" t="s">
        <v>612</v>
      </c>
      <c r="B3" s="2" t="s">
        <v>5</v>
      </c>
      <c r="C3" s="2" t="s">
        <v>5</v>
      </c>
      <c r="D3" s="2" t="s">
        <v>5</v>
      </c>
    </row>
    <row r="4" spans="1:4" ht="16" x14ac:dyDescent="0.2">
      <c r="A4" s="2" t="s">
        <v>613</v>
      </c>
      <c r="B4" s="4">
        <v>3</v>
      </c>
      <c r="C4" s="2" t="s">
        <v>5</v>
      </c>
      <c r="D4" s="2" t="s">
        <v>5</v>
      </c>
    </row>
    <row r="5" spans="1:4" ht="16" x14ac:dyDescent="0.2">
      <c r="A5" s="2" t="s">
        <v>614</v>
      </c>
      <c r="B5" s="5">
        <v>163</v>
      </c>
      <c r="C5" s="5">
        <v>129</v>
      </c>
      <c r="D5" s="5">
        <v>126</v>
      </c>
    </row>
    <row r="6" spans="1:4" ht="16" x14ac:dyDescent="0.2">
      <c r="A6" s="2" t="s">
        <v>615</v>
      </c>
      <c r="B6" s="4">
        <v>181</v>
      </c>
      <c r="C6" s="4">
        <v>134</v>
      </c>
      <c r="D6" s="4">
        <v>129</v>
      </c>
    </row>
    <row r="7" spans="1:4" ht="16" x14ac:dyDescent="0.2">
      <c r="A7" s="2" t="s">
        <v>82</v>
      </c>
      <c r="B7" s="4">
        <v>3377</v>
      </c>
      <c r="C7" s="4">
        <v>2852</v>
      </c>
      <c r="D7" s="4">
        <v>2249</v>
      </c>
    </row>
    <row r="8" spans="1:4" ht="16" x14ac:dyDescent="0.2">
      <c r="A8" s="2" t="s">
        <v>179</v>
      </c>
      <c r="B8" s="5">
        <v>11964</v>
      </c>
      <c r="C8" s="4">
        <v>10200</v>
      </c>
      <c r="D8" s="2" t="s">
        <v>5</v>
      </c>
    </row>
    <row r="9" spans="1:4" ht="16" x14ac:dyDescent="0.2">
      <c r="A9" s="2" t="s">
        <v>616</v>
      </c>
      <c r="B9" s="2" t="s">
        <v>5</v>
      </c>
      <c r="C9" s="2" t="s">
        <v>5</v>
      </c>
      <c r="D9" s="2" t="s">
        <v>5</v>
      </c>
    </row>
    <row r="10" spans="1:4" ht="16" x14ac:dyDescent="0.2">
      <c r="A10" s="1" t="s">
        <v>612</v>
      </c>
      <c r="B10" s="2" t="s">
        <v>5</v>
      </c>
      <c r="C10" s="2" t="s">
        <v>5</v>
      </c>
      <c r="D10" s="2" t="s">
        <v>5</v>
      </c>
    </row>
    <row r="11" spans="1:4" ht="16" x14ac:dyDescent="0.2">
      <c r="A11" s="2" t="s">
        <v>617</v>
      </c>
      <c r="B11" s="2" t="s">
        <v>618</v>
      </c>
      <c r="C11" s="2" t="s">
        <v>5</v>
      </c>
      <c r="D11" s="2" t="s">
        <v>5</v>
      </c>
    </row>
    <row r="12" spans="1:4" ht="16" x14ac:dyDescent="0.2">
      <c r="A12" s="2" t="s">
        <v>619</v>
      </c>
      <c r="B12" s="2" t="s">
        <v>5</v>
      </c>
      <c r="C12" s="2" t="s">
        <v>5</v>
      </c>
      <c r="D12" s="2" t="s">
        <v>5</v>
      </c>
    </row>
    <row r="13" spans="1:4" ht="16" x14ac:dyDescent="0.2">
      <c r="A13" s="1" t="s">
        <v>612</v>
      </c>
      <c r="B13" s="2" t="s">
        <v>5</v>
      </c>
      <c r="C13" s="2" t="s">
        <v>5</v>
      </c>
      <c r="D13" s="2" t="s">
        <v>5</v>
      </c>
    </row>
    <row r="14" spans="1:4" ht="16" x14ac:dyDescent="0.2">
      <c r="A14" s="2" t="s">
        <v>620</v>
      </c>
      <c r="B14" s="2" t="s">
        <v>621</v>
      </c>
      <c r="C14" s="2" t="s">
        <v>5</v>
      </c>
      <c r="D14" s="2" t="s">
        <v>5</v>
      </c>
    </row>
    <row r="15" spans="1:4" ht="16" x14ac:dyDescent="0.2">
      <c r="A15" s="2" t="s">
        <v>622</v>
      </c>
      <c r="B15" s="2" t="s">
        <v>5</v>
      </c>
      <c r="C15" s="2" t="s">
        <v>5</v>
      </c>
      <c r="D15" s="2" t="s">
        <v>5</v>
      </c>
    </row>
    <row r="16" spans="1:4" ht="16" x14ac:dyDescent="0.2">
      <c r="A16" s="1" t="s">
        <v>612</v>
      </c>
      <c r="B16" s="2" t="s">
        <v>5</v>
      </c>
      <c r="C16" s="2" t="s">
        <v>5</v>
      </c>
      <c r="D16" s="2" t="s">
        <v>5</v>
      </c>
    </row>
    <row r="17" spans="1:4" ht="16" x14ac:dyDescent="0.2">
      <c r="A17" s="2" t="s">
        <v>620</v>
      </c>
      <c r="B17" s="2" t="s">
        <v>623</v>
      </c>
      <c r="C17" s="2" t="s">
        <v>5</v>
      </c>
      <c r="D17" s="2" t="s">
        <v>5</v>
      </c>
    </row>
    <row r="18" spans="1:4" ht="16" x14ac:dyDescent="0.2">
      <c r="A18" s="2" t="s">
        <v>624</v>
      </c>
      <c r="B18" s="2" t="s">
        <v>5</v>
      </c>
      <c r="C18" s="2" t="s">
        <v>5</v>
      </c>
      <c r="D18" s="2" t="s">
        <v>5</v>
      </c>
    </row>
    <row r="19" spans="1:4" ht="16" x14ac:dyDescent="0.2">
      <c r="A19" s="1" t="s">
        <v>612</v>
      </c>
      <c r="B19" s="2" t="s">
        <v>5</v>
      </c>
      <c r="C19" s="2" t="s">
        <v>5</v>
      </c>
      <c r="D19" s="2" t="s">
        <v>5</v>
      </c>
    </row>
    <row r="20" spans="1:4" ht="16" x14ac:dyDescent="0.2">
      <c r="A20" s="2" t="s">
        <v>625</v>
      </c>
      <c r="B20" s="2" t="s">
        <v>626</v>
      </c>
      <c r="C20" s="2" t="s">
        <v>5</v>
      </c>
      <c r="D20" s="2" t="s">
        <v>5</v>
      </c>
    </row>
    <row r="21" spans="1:4" ht="16" x14ac:dyDescent="0.2">
      <c r="A21" s="2" t="s">
        <v>627</v>
      </c>
      <c r="B21" s="2" t="s">
        <v>5</v>
      </c>
      <c r="C21" s="2" t="s">
        <v>5</v>
      </c>
      <c r="D21" s="2" t="s">
        <v>5</v>
      </c>
    </row>
    <row r="22" spans="1:4" ht="16" x14ac:dyDescent="0.2">
      <c r="A22" s="1" t="s">
        <v>612</v>
      </c>
      <c r="B22" s="2" t="s">
        <v>5</v>
      </c>
      <c r="C22" s="2" t="s">
        <v>5</v>
      </c>
      <c r="D22" s="2" t="s">
        <v>5</v>
      </c>
    </row>
    <row r="23" spans="1:4" ht="16" x14ac:dyDescent="0.2">
      <c r="A23" s="2" t="s">
        <v>625</v>
      </c>
      <c r="B23" s="2" t="s">
        <v>628</v>
      </c>
      <c r="C23" s="2" t="s">
        <v>5</v>
      </c>
      <c r="D23" s="2" t="s">
        <v>5</v>
      </c>
    </row>
    <row r="24" spans="1:4" ht="16" x14ac:dyDescent="0.2">
      <c r="A24" s="2" t="s">
        <v>629</v>
      </c>
      <c r="B24" s="2" t="s">
        <v>5</v>
      </c>
      <c r="C24" s="2" t="s">
        <v>5</v>
      </c>
      <c r="D24" s="2" t="s">
        <v>5</v>
      </c>
    </row>
    <row r="25" spans="1:4" ht="16" x14ac:dyDescent="0.2">
      <c r="A25" s="1" t="s">
        <v>612</v>
      </c>
      <c r="B25" s="2" t="s">
        <v>5</v>
      </c>
      <c r="C25" s="2" t="s">
        <v>5</v>
      </c>
      <c r="D25" s="2" t="s">
        <v>5</v>
      </c>
    </row>
    <row r="26" spans="1:4" ht="16" x14ac:dyDescent="0.2">
      <c r="A26" s="2" t="s">
        <v>625</v>
      </c>
      <c r="B26" s="2" t="s">
        <v>621</v>
      </c>
      <c r="C26" s="2" t="s">
        <v>5</v>
      </c>
      <c r="D26" s="2" t="s">
        <v>5</v>
      </c>
    </row>
    <row r="27" spans="1:4" ht="16" x14ac:dyDescent="0.2">
      <c r="A27" s="2" t="s">
        <v>630</v>
      </c>
      <c r="B27" s="2" t="s">
        <v>5</v>
      </c>
      <c r="C27" s="2" t="s">
        <v>5</v>
      </c>
      <c r="D27" s="2" t="s">
        <v>5</v>
      </c>
    </row>
    <row r="28" spans="1:4" ht="16" x14ac:dyDescent="0.2">
      <c r="A28" s="1" t="s">
        <v>612</v>
      </c>
      <c r="B28" s="2" t="s">
        <v>5</v>
      </c>
      <c r="C28" s="2" t="s">
        <v>5</v>
      </c>
      <c r="D28" s="2" t="s">
        <v>5</v>
      </c>
    </row>
    <row r="29" spans="1:4" ht="16" x14ac:dyDescent="0.2">
      <c r="A29" s="2" t="s">
        <v>625</v>
      </c>
      <c r="B29" s="2" t="s">
        <v>621</v>
      </c>
      <c r="C29" s="2" t="s">
        <v>5</v>
      </c>
      <c r="D29" s="2" t="s">
        <v>5</v>
      </c>
    </row>
    <row r="30" spans="1:4" ht="16" x14ac:dyDescent="0.2">
      <c r="A30" s="2" t="s">
        <v>631</v>
      </c>
      <c r="B30" s="2" t="s">
        <v>5</v>
      </c>
      <c r="C30" s="2" t="s">
        <v>5</v>
      </c>
      <c r="D30" s="2" t="s">
        <v>5</v>
      </c>
    </row>
    <row r="31" spans="1:4" ht="16" x14ac:dyDescent="0.2">
      <c r="A31" s="1" t="s">
        <v>612</v>
      </c>
      <c r="B31" s="2" t="s">
        <v>5</v>
      </c>
      <c r="C31" s="2" t="s">
        <v>5</v>
      </c>
      <c r="D31" s="2" t="s">
        <v>5</v>
      </c>
    </row>
    <row r="32" spans="1:4" ht="16" x14ac:dyDescent="0.2">
      <c r="A32" s="2" t="s">
        <v>625</v>
      </c>
      <c r="B32" s="2" t="s">
        <v>632</v>
      </c>
      <c r="C32" s="2" t="s">
        <v>5</v>
      </c>
      <c r="D32" s="2" t="s">
        <v>5</v>
      </c>
    </row>
    <row r="33" spans="1:4" ht="16" x14ac:dyDescent="0.2">
      <c r="A33" s="2" t="s">
        <v>633</v>
      </c>
      <c r="B33" s="2" t="s">
        <v>5</v>
      </c>
      <c r="C33" s="2" t="s">
        <v>5</v>
      </c>
      <c r="D33" s="2" t="s">
        <v>5</v>
      </c>
    </row>
    <row r="34" spans="1:4" ht="16" x14ac:dyDescent="0.2">
      <c r="A34" s="1" t="s">
        <v>612</v>
      </c>
      <c r="B34" s="2" t="s">
        <v>5</v>
      </c>
      <c r="C34" s="2" t="s">
        <v>5</v>
      </c>
      <c r="D34" s="2" t="s">
        <v>5</v>
      </c>
    </row>
    <row r="35" spans="1:4" ht="16" x14ac:dyDescent="0.2">
      <c r="A35" s="2" t="s">
        <v>617</v>
      </c>
      <c r="B35" s="2" t="s">
        <v>634</v>
      </c>
      <c r="C35" s="2" t="s">
        <v>5</v>
      </c>
      <c r="D35" s="2" t="s">
        <v>5</v>
      </c>
    </row>
    <row r="36" spans="1:4" ht="16" x14ac:dyDescent="0.2">
      <c r="A36" s="2" t="s">
        <v>635</v>
      </c>
      <c r="B36" s="2" t="s">
        <v>5</v>
      </c>
      <c r="C36" s="2" t="s">
        <v>5</v>
      </c>
      <c r="D36" s="2" t="s">
        <v>5</v>
      </c>
    </row>
    <row r="37" spans="1:4" ht="16" x14ac:dyDescent="0.2">
      <c r="A37" s="1" t="s">
        <v>612</v>
      </c>
      <c r="B37" s="2" t="s">
        <v>5</v>
      </c>
      <c r="C37" s="2" t="s">
        <v>5</v>
      </c>
      <c r="D37" s="2" t="s">
        <v>5</v>
      </c>
    </row>
    <row r="38" spans="1:4" ht="16" x14ac:dyDescent="0.2">
      <c r="A38" s="2" t="s">
        <v>617</v>
      </c>
      <c r="B38" s="2" t="s">
        <v>626</v>
      </c>
      <c r="C38" s="2" t="s">
        <v>5</v>
      </c>
      <c r="D38" s="2" t="s">
        <v>5</v>
      </c>
    </row>
    <row r="39" spans="1:4" ht="16" x14ac:dyDescent="0.2">
      <c r="A39" s="2" t="s">
        <v>636</v>
      </c>
      <c r="B39" s="2" t="s">
        <v>5</v>
      </c>
      <c r="C39" s="2" t="s">
        <v>5</v>
      </c>
      <c r="D39" s="2" t="s">
        <v>5</v>
      </c>
    </row>
    <row r="40" spans="1:4" ht="16" x14ac:dyDescent="0.2">
      <c r="A40" s="1" t="s">
        <v>612</v>
      </c>
      <c r="B40" s="2" t="s">
        <v>5</v>
      </c>
      <c r="C40" s="2" t="s">
        <v>5</v>
      </c>
      <c r="D40" s="2" t="s">
        <v>5</v>
      </c>
    </row>
    <row r="41" spans="1:4" ht="16" x14ac:dyDescent="0.2">
      <c r="A41" s="2" t="s">
        <v>620</v>
      </c>
      <c r="B41" s="2" t="s">
        <v>626</v>
      </c>
      <c r="C41" s="2" t="s">
        <v>5</v>
      </c>
      <c r="D41" s="2" t="s">
        <v>5</v>
      </c>
    </row>
    <row r="42" spans="1:4" ht="16" x14ac:dyDescent="0.2">
      <c r="A42" s="2" t="s">
        <v>637</v>
      </c>
      <c r="B42" s="2" t="s">
        <v>5</v>
      </c>
      <c r="C42" s="2" t="s">
        <v>5</v>
      </c>
      <c r="D42" s="2" t="s">
        <v>5</v>
      </c>
    </row>
    <row r="43" spans="1:4" ht="16" x14ac:dyDescent="0.2">
      <c r="A43" s="1" t="s">
        <v>612</v>
      </c>
      <c r="B43" s="2" t="s">
        <v>5</v>
      </c>
      <c r="C43" s="2" t="s">
        <v>5</v>
      </c>
      <c r="D43" s="2" t="s">
        <v>5</v>
      </c>
    </row>
    <row r="44" spans="1:4" ht="16" x14ac:dyDescent="0.2">
      <c r="A44" s="2" t="s">
        <v>620</v>
      </c>
      <c r="B44" s="2" t="s">
        <v>638</v>
      </c>
      <c r="C44" s="2" t="s">
        <v>5</v>
      </c>
      <c r="D44" s="2" t="s">
        <v>5</v>
      </c>
    </row>
    <row r="45" spans="1:4" ht="16" x14ac:dyDescent="0.2">
      <c r="A45" s="2" t="s">
        <v>639</v>
      </c>
      <c r="B45" s="2" t="s">
        <v>5</v>
      </c>
      <c r="C45" s="2" t="s">
        <v>5</v>
      </c>
      <c r="D45" s="2" t="s">
        <v>5</v>
      </c>
    </row>
    <row r="46" spans="1:4" ht="16" x14ac:dyDescent="0.2">
      <c r="A46" s="1" t="s">
        <v>612</v>
      </c>
      <c r="B46" s="2" t="s">
        <v>5</v>
      </c>
      <c r="C46" s="2" t="s">
        <v>5</v>
      </c>
      <c r="D46" s="2" t="s">
        <v>5</v>
      </c>
    </row>
    <row r="47" spans="1:4" ht="16" x14ac:dyDescent="0.2">
      <c r="A47" s="2" t="s">
        <v>625</v>
      </c>
      <c r="B47" s="2" t="s">
        <v>640</v>
      </c>
      <c r="C47" s="2" t="s">
        <v>5</v>
      </c>
      <c r="D47" s="2" t="s">
        <v>5</v>
      </c>
    </row>
    <row r="48" spans="1:4" ht="16" x14ac:dyDescent="0.2">
      <c r="A48" s="2" t="s">
        <v>641</v>
      </c>
      <c r="B48" s="2" t="s">
        <v>5</v>
      </c>
      <c r="C48" s="2" t="s">
        <v>5</v>
      </c>
      <c r="D48" s="2" t="s">
        <v>5</v>
      </c>
    </row>
    <row r="49" spans="1:4" ht="16" x14ac:dyDescent="0.2">
      <c r="A49" s="1" t="s">
        <v>612</v>
      </c>
      <c r="B49" s="2" t="s">
        <v>5</v>
      </c>
      <c r="C49" s="2" t="s">
        <v>5</v>
      </c>
      <c r="D49" s="2" t="s">
        <v>5</v>
      </c>
    </row>
    <row r="50" spans="1:4" ht="16" x14ac:dyDescent="0.2">
      <c r="A50" s="2" t="s">
        <v>625</v>
      </c>
      <c r="B50" s="2" t="s">
        <v>642</v>
      </c>
      <c r="C50" s="2" t="s">
        <v>5</v>
      </c>
      <c r="D50" s="2" t="s">
        <v>5</v>
      </c>
    </row>
    <row r="51" spans="1:4" ht="16" x14ac:dyDescent="0.2">
      <c r="A51" s="2" t="s">
        <v>643</v>
      </c>
      <c r="B51" s="2" t="s">
        <v>5</v>
      </c>
      <c r="C51" s="2" t="s">
        <v>5</v>
      </c>
      <c r="D51" s="2" t="s">
        <v>5</v>
      </c>
    </row>
    <row r="52" spans="1:4" ht="16" x14ac:dyDescent="0.2">
      <c r="A52" s="1" t="s">
        <v>612</v>
      </c>
      <c r="B52" s="2" t="s">
        <v>5</v>
      </c>
      <c r="C52" s="2" t="s">
        <v>5</v>
      </c>
      <c r="D52" s="2" t="s">
        <v>5</v>
      </c>
    </row>
    <row r="53" spans="1:4" ht="16" x14ac:dyDescent="0.2">
      <c r="A53" s="2" t="s">
        <v>625</v>
      </c>
      <c r="B53" s="2" t="s">
        <v>644</v>
      </c>
      <c r="C53" s="2" t="s">
        <v>5</v>
      </c>
      <c r="D53" s="2" t="s">
        <v>5</v>
      </c>
    </row>
    <row r="54" spans="1:4" ht="16" x14ac:dyDescent="0.2">
      <c r="A54" s="2" t="s">
        <v>645</v>
      </c>
      <c r="B54" s="2" t="s">
        <v>5</v>
      </c>
      <c r="C54" s="2" t="s">
        <v>5</v>
      </c>
      <c r="D54" s="2" t="s">
        <v>5</v>
      </c>
    </row>
    <row r="55" spans="1:4" ht="16" x14ac:dyDescent="0.2">
      <c r="A55" s="1" t="s">
        <v>612</v>
      </c>
      <c r="B55" s="2" t="s">
        <v>5</v>
      </c>
      <c r="C55" s="2" t="s">
        <v>5</v>
      </c>
      <c r="D55" s="2" t="s">
        <v>5</v>
      </c>
    </row>
    <row r="56" spans="1:4" ht="16" x14ac:dyDescent="0.2">
      <c r="A56" s="2" t="s">
        <v>625</v>
      </c>
      <c r="B56" s="2" t="s">
        <v>646</v>
      </c>
      <c r="C56" s="2" t="s">
        <v>5</v>
      </c>
      <c r="D56" s="2" t="s">
        <v>5</v>
      </c>
    </row>
    <row r="57" spans="1:4" ht="16" x14ac:dyDescent="0.2">
      <c r="A57" s="2" t="s">
        <v>647</v>
      </c>
      <c r="B57" s="2" t="s">
        <v>5</v>
      </c>
      <c r="C57" s="2" t="s">
        <v>5</v>
      </c>
      <c r="D57" s="2" t="s">
        <v>5</v>
      </c>
    </row>
    <row r="58" spans="1:4" ht="16" x14ac:dyDescent="0.2">
      <c r="A58" s="1" t="s">
        <v>612</v>
      </c>
      <c r="B58" s="2" t="s">
        <v>5</v>
      </c>
      <c r="C58" s="2" t="s">
        <v>5</v>
      </c>
      <c r="D58" s="2" t="s">
        <v>5</v>
      </c>
    </row>
    <row r="59" spans="1:4" ht="16" x14ac:dyDescent="0.2">
      <c r="A59" s="2" t="s">
        <v>625</v>
      </c>
      <c r="B59" s="2" t="s">
        <v>648</v>
      </c>
      <c r="C59" s="2" t="s">
        <v>5</v>
      </c>
      <c r="D59" s="2" t="s">
        <v>5</v>
      </c>
    </row>
    <row r="60" spans="1:4" ht="16" x14ac:dyDescent="0.2">
      <c r="A60" s="2" t="s">
        <v>649</v>
      </c>
      <c r="B60" s="2" t="s">
        <v>5</v>
      </c>
      <c r="C60" s="2" t="s">
        <v>5</v>
      </c>
      <c r="D60" s="2" t="s">
        <v>5</v>
      </c>
    </row>
    <row r="61" spans="1:4" ht="16" x14ac:dyDescent="0.2">
      <c r="A61" s="1" t="s">
        <v>612</v>
      </c>
      <c r="B61" s="2" t="s">
        <v>5</v>
      </c>
      <c r="C61" s="2" t="s">
        <v>5</v>
      </c>
      <c r="D61" s="2" t="s">
        <v>5</v>
      </c>
    </row>
    <row r="62" spans="1:4" ht="16" x14ac:dyDescent="0.2">
      <c r="A62" s="2" t="s">
        <v>617</v>
      </c>
      <c r="B62" s="2" t="s">
        <v>650</v>
      </c>
      <c r="C62" s="2" t="s">
        <v>5</v>
      </c>
      <c r="D62" s="2" t="s">
        <v>5</v>
      </c>
    </row>
    <row r="63" spans="1:4" ht="16" x14ac:dyDescent="0.2">
      <c r="A63" s="2" t="s">
        <v>651</v>
      </c>
      <c r="B63" s="2" t="s">
        <v>5</v>
      </c>
      <c r="C63" s="2" t="s">
        <v>5</v>
      </c>
      <c r="D63" s="2" t="s">
        <v>5</v>
      </c>
    </row>
    <row r="64" spans="1:4" ht="16" x14ac:dyDescent="0.2">
      <c r="A64" s="1" t="s">
        <v>612</v>
      </c>
      <c r="B64" s="2" t="s">
        <v>5</v>
      </c>
      <c r="C64" s="2" t="s">
        <v>5</v>
      </c>
      <c r="D64" s="2" t="s">
        <v>5</v>
      </c>
    </row>
    <row r="65" spans="1:4" ht="16" x14ac:dyDescent="0.2">
      <c r="A65" s="2" t="s">
        <v>617</v>
      </c>
      <c r="B65" s="2" t="s">
        <v>652</v>
      </c>
      <c r="C65" s="2" t="s">
        <v>5</v>
      </c>
      <c r="D65" s="2" t="s">
        <v>5</v>
      </c>
    </row>
    <row r="66" spans="1:4" ht="16" x14ac:dyDescent="0.2">
      <c r="A66" s="2" t="s">
        <v>653</v>
      </c>
      <c r="B66" s="2" t="s">
        <v>5</v>
      </c>
      <c r="C66" s="2" t="s">
        <v>5</v>
      </c>
      <c r="D66" s="2" t="s">
        <v>5</v>
      </c>
    </row>
    <row r="67" spans="1:4" ht="16" x14ac:dyDescent="0.2">
      <c r="A67" s="1" t="s">
        <v>612</v>
      </c>
      <c r="B67" s="2" t="s">
        <v>5</v>
      </c>
      <c r="C67" s="2" t="s">
        <v>5</v>
      </c>
      <c r="D67" s="2" t="s">
        <v>5</v>
      </c>
    </row>
    <row r="68" spans="1:4" ht="16" x14ac:dyDescent="0.2">
      <c r="A68" s="2" t="s">
        <v>617</v>
      </c>
      <c r="B68" s="2" t="s">
        <v>634</v>
      </c>
      <c r="C68" s="2" t="s">
        <v>5</v>
      </c>
      <c r="D68" s="2" t="s">
        <v>5</v>
      </c>
    </row>
    <row r="69" spans="1:4" ht="16" x14ac:dyDescent="0.2">
      <c r="A69" s="2" t="s">
        <v>654</v>
      </c>
      <c r="B69" s="2" t="s">
        <v>5</v>
      </c>
      <c r="C69" s="2" t="s">
        <v>5</v>
      </c>
      <c r="D69" s="2" t="s">
        <v>5</v>
      </c>
    </row>
    <row r="70" spans="1:4" ht="16" x14ac:dyDescent="0.2">
      <c r="A70" s="1" t="s">
        <v>612</v>
      </c>
      <c r="B70" s="2" t="s">
        <v>5</v>
      </c>
      <c r="C70" s="2" t="s">
        <v>5</v>
      </c>
      <c r="D70" s="2" t="s">
        <v>5</v>
      </c>
    </row>
    <row r="71" spans="1:4" ht="16" x14ac:dyDescent="0.2">
      <c r="A71" s="2" t="s">
        <v>179</v>
      </c>
      <c r="B71" s="5">
        <v>117</v>
      </c>
      <c r="C71" s="4">
        <v>102</v>
      </c>
      <c r="D71" s="2" t="s">
        <v>5</v>
      </c>
    </row>
    <row r="72" spans="1:4" ht="16" x14ac:dyDescent="0.2">
      <c r="A72" s="2" t="s">
        <v>655</v>
      </c>
      <c r="B72" s="2" t="s">
        <v>5</v>
      </c>
      <c r="C72" s="2" t="s">
        <v>5</v>
      </c>
      <c r="D72" s="2" t="s">
        <v>5</v>
      </c>
    </row>
    <row r="73" spans="1:4" ht="16" x14ac:dyDescent="0.2">
      <c r="A73" s="1" t="s">
        <v>612</v>
      </c>
      <c r="B73" s="2" t="s">
        <v>5</v>
      </c>
      <c r="C73" s="2" t="s">
        <v>5</v>
      </c>
      <c r="D73" s="2" t="s">
        <v>5</v>
      </c>
    </row>
    <row r="74" spans="1:4" ht="16" x14ac:dyDescent="0.2">
      <c r="A74" s="2" t="s">
        <v>82</v>
      </c>
      <c r="B74" s="5">
        <v>188</v>
      </c>
      <c r="C74" s="5">
        <v>217</v>
      </c>
      <c r="D74" s="5">
        <v>213</v>
      </c>
    </row>
  </sheetData>
  <mergeCells count="2">
    <mergeCell ref="A1:A2"/>
    <mergeCell ref="B1:D1"/>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6"/>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656</v>
      </c>
      <c r="B1" s="61" t="s">
        <v>1</v>
      </c>
      <c r="C1" s="60"/>
      <c r="D1" s="60"/>
    </row>
    <row r="2" spans="1:4" ht="16" x14ac:dyDescent="0.2">
      <c r="A2" s="60"/>
      <c r="B2" s="12" t="s">
        <v>2</v>
      </c>
      <c r="C2" s="12" t="s">
        <v>75</v>
      </c>
      <c r="D2" s="12" t="s">
        <v>76</v>
      </c>
    </row>
    <row r="3" spans="1:4" ht="16" x14ac:dyDescent="0.2">
      <c r="A3" s="1" t="s">
        <v>325</v>
      </c>
      <c r="B3" s="2" t="s">
        <v>5</v>
      </c>
      <c r="C3" s="2" t="s">
        <v>5</v>
      </c>
      <c r="D3" s="2" t="s">
        <v>5</v>
      </c>
    </row>
    <row r="4" spans="1:4" ht="16" x14ac:dyDescent="0.2">
      <c r="A4" s="2" t="s">
        <v>657</v>
      </c>
      <c r="B4" s="5">
        <v>-1706</v>
      </c>
      <c r="C4" s="5">
        <v>-2335</v>
      </c>
      <c r="D4" s="5">
        <v>-379</v>
      </c>
    </row>
    <row r="5" spans="1:4" ht="16" x14ac:dyDescent="0.2">
      <c r="A5" s="2" t="s">
        <v>658</v>
      </c>
      <c r="B5" s="5">
        <v>-2943</v>
      </c>
      <c r="C5" s="5">
        <v>-5253</v>
      </c>
      <c r="D5" s="5">
        <v>-880</v>
      </c>
    </row>
    <row r="6" spans="1:4" ht="16" x14ac:dyDescent="0.2">
      <c r="A6" s="2" t="s">
        <v>659</v>
      </c>
      <c r="B6" s="6">
        <v>-5.43</v>
      </c>
      <c r="C6" s="6">
        <v>-8.8800000000000008</v>
      </c>
      <c r="D6" s="6">
        <v>-1.28</v>
      </c>
    </row>
  </sheetData>
  <mergeCells count="2">
    <mergeCell ref="A1:A2"/>
    <mergeCell ref="B1:D1"/>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41"/>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660</v>
      </c>
      <c r="B1" s="61" t="s">
        <v>1</v>
      </c>
      <c r="C1" s="60"/>
    </row>
    <row r="2" spans="1:3" ht="16" x14ac:dyDescent="0.2">
      <c r="A2" s="60"/>
      <c r="B2" s="12" t="s">
        <v>2</v>
      </c>
      <c r="C2" s="12" t="s">
        <v>75</v>
      </c>
    </row>
    <row r="3" spans="1:3" ht="16" x14ac:dyDescent="0.2">
      <c r="A3" s="1" t="s">
        <v>661</v>
      </c>
      <c r="B3" s="2" t="s">
        <v>5</v>
      </c>
      <c r="C3" s="2" t="s">
        <v>5</v>
      </c>
    </row>
    <row r="4" spans="1:3" ht="16" x14ac:dyDescent="0.2">
      <c r="A4" s="2" t="s">
        <v>662</v>
      </c>
      <c r="B4" s="5">
        <v>8057</v>
      </c>
      <c r="C4" s="5">
        <v>8068</v>
      </c>
    </row>
    <row r="5" spans="1:3" ht="16" x14ac:dyDescent="0.2">
      <c r="A5" s="2" t="s">
        <v>663</v>
      </c>
      <c r="B5" s="4">
        <v>6</v>
      </c>
      <c r="C5" s="4">
        <v>-11</v>
      </c>
    </row>
    <row r="6" spans="1:3" ht="16" x14ac:dyDescent="0.2">
      <c r="A6" s="2" t="s">
        <v>664</v>
      </c>
      <c r="B6" s="4">
        <v>8093</v>
      </c>
      <c r="C6" s="4">
        <v>8057</v>
      </c>
    </row>
    <row r="7" spans="1:3" ht="16" x14ac:dyDescent="0.2">
      <c r="A7" s="2" t="s">
        <v>602</v>
      </c>
      <c r="B7" s="2" t="s">
        <v>5</v>
      </c>
      <c r="C7" s="2" t="s">
        <v>5</v>
      </c>
    </row>
    <row r="8" spans="1:3" ht="16" x14ac:dyDescent="0.2">
      <c r="A8" s="1" t="s">
        <v>661</v>
      </c>
      <c r="B8" s="2" t="s">
        <v>5</v>
      </c>
      <c r="C8" s="2" t="s">
        <v>5</v>
      </c>
    </row>
    <row r="9" spans="1:3" ht="16" x14ac:dyDescent="0.2">
      <c r="A9" s="2" t="s">
        <v>665</v>
      </c>
      <c r="B9" s="4">
        <v>30</v>
      </c>
      <c r="C9" s="2" t="s">
        <v>5</v>
      </c>
    </row>
    <row r="10" spans="1:3" ht="16" x14ac:dyDescent="0.2">
      <c r="A10" s="2" t="s">
        <v>666</v>
      </c>
      <c r="B10" s="2" t="s">
        <v>5</v>
      </c>
      <c r="C10" s="2" t="s">
        <v>5</v>
      </c>
    </row>
    <row r="11" spans="1:3" ht="16" x14ac:dyDescent="0.2">
      <c r="A11" s="1" t="s">
        <v>661</v>
      </c>
      <c r="B11" s="2" t="s">
        <v>5</v>
      </c>
      <c r="C11" s="2" t="s">
        <v>5</v>
      </c>
    </row>
    <row r="12" spans="1:3" ht="16" x14ac:dyDescent="0.2">
      <c r="A12" s="2" t="s">
        <v>662</v>
      </c>
      <c r="B12" s="4">
        <v>1316</v>
      </c>
      <c r="C12" s="4">
        <v>1316</v>
      </c>
    </row>
    <row r="13" spans="1:3" ht="16" x14ac:dyDescent="0.2">
      <c r="A13" s="2" t="s">
        <v>663</v>
      </c>
      <c r="B13" s="2" t="s">
        <v>111</v>
      </c>
      <c r="C13" s="2" t="s">
        <v>111</v>
      </c>
    </row>
    <row r="14" spans="1:3" ht="16" x14ac:dyDescent="0.2">
      <c r="A14" s="2" t="s">
        <v>664</v>
      </c>
      <c r="B14" s="4">
        <v>1319</v>
      </c>
      <c r="C14" s="4">
        <v>1316</v>
      </c>
    </row>
    <row r="15" spans="1:3" ht="16" x14ac:dyDescent="0.2">
      <c r="A15" s="2" t="s">
        <v>667</v>
      </c>
      <c r="B15" s="2" t="s">
        <v>5</v>
      </c>
      <c r="C15" s="2" t="s">
        <v>5</v>
      </c>
    </row>
    <row r="16" spans="1:3" ht="16" x14ac:dyDescent="0.2">
      <c r="A16" s="1" t="s">
        <v>661</v>
      </c>
      <c r="B16" s="2" t="s">
        <v>5</v>
      </c>
      <c r="C16" s="2" t="s">
        <v>5</v>
      </c>
    </row>
    <row r="17" spans="1:3" ht="16" x14ac:dyDescent="0.2">
      <c r="A17" s="2" t="s">
        <v>665</v>
      </c>
      <c r="B17" s="4">
        <v>3</v>
      </c>
      <c r="C17" s="2" t="s">
        <v>5</v>
      </c>
    </row>
    <row r="18" spans="1:3" ht="16" x14ac:dyDescent="0.2">
      <c r="A18" s="2" t="s">
        <v>668</v>
      </c>
      <c r="B18" s="2" t="s">
        <v>5</v>
      </c>
      <c r="C18" s="2" t="s">
        <v>5</v>
      </c>
    </row>
    <row r="19" spans="1:3" ht="16" x14ac:dyDescent="0.2">
      <c r="A19" s="1" t="s">
        <v>661</v>
      </c>
      <c r="B19" s="2" t="s">
        <v>5</v>
      </c>
      <c r="C19" s="2" t="s">
        <v>5</v>
      </c>
    </row>
    <row r="20" spans="1:3" ht="16" x14ac:dyDescent="0.2">
      <c r="A20" s="2" t="s">
        <v>662</v>
      </c>
      <c r="B20" s="4">
        <v>3224</v>
      </c>
      <c r="C20" s="4">
        <v>3224</v>
      </c>
    </row>
    <row r="21" spans="1:3" ht="16" x14ac:dyDescent="0.2">
      <c r="A21" s="2" t="s">
        <v>663</v>
      </c>
      <c r="B21" s="2" t="s">
        <v>111</v>
      </c>
      <c r="C21" s="2" t="s">
        <v>111</v>
      </c>
    </row>
    <row r="22" spans="1:3" ht="16" x14ac:dyDescent="0.2">
      <c r="A22" s="2" t="s">
        <v>664</v>
      </c>
      <c r="B22" s="4">
        <v>3235</v>
      </c>
      <c r="C22" s="4">
        <v>3224</v>
      </c>
    </row>
    <row r="23" spans="1:3" ht="16" x14ac:dyDescent="0.2">
      <c r="A23" s="2" t="s">
        <v>669</v>
      </c>
      <c r="B23" s="2" t="s">
        <v>5</v>
      </c>
      <c r="C23" s="2" t="s">
        <v>5</v>
      </c>
    </row>
    <row r="24" spans="1:3" ht="16" x14ac:dyDescent="0.2">
      <c r="A24" s="1" t="s">
        <v>661</v>
      </c>
      <c r="B24" s="2" t="s">
        <v>5</v>
      </c>
      <c r="C24" s="2" t="s">
        <v>5</v>
      </c>
    </row>
    <row r="25" spans="1:3" ht="16" x14ac:dyDescent="0.2">
      <c r="A25" s="2" t="s">
        <v>665</v>
      </c>
      <c r="B25" s="4">
        <v>11</v>
      </c>
      <c r="C25" s="2" t="s">
        <v>5</v>
      </c>
    </row>
    <row r="26" spans="1:3" ht="16" x14ac:dyDescent="0.2">
      <c r="A26" s="2" t="s">
        <v>670</v>
      </c>
      <c r="B26" s="2" t="s">
        <v>5</v>
      </c>
      <c r="C26" s="2" t="s">
        <v>5</v>
      </c>
    </row>
    <row r="27" spans="1:3" ht="16" x14ac:dyDescent="0.2">
      <c r="A27" s="1" t="s">
        <v>661</v>
      </c>
      <c r="B27" s="2" t="s">
        <v>5</v>
      </c>
      <c r="C27" s="2" t="s">
        <v>5</v>
      </c>
    </row>
    <row r="28" spans="1:3" ht="16" x14ac:dyDescent="0.2">
      <c r="A28" s="2" t="s">
        <v>662</v>
      </c>
      <c r="B28" s="4">
        <v>3432</v>
      </c>
      <c r="C28" s="4">
        <v>3443</v>
      </c>
    </row>
    <row r="29" spans="1:3" ht="16" x14ac:dyDescent="0.2">
      <c r="A29" s="2" t="s">
        <v>663</v>
      </c>
      <c r="B29" s="4">
        <v>6</v>
      </c>
      <c r="C29" s="4">
        <v>-11</v>
      </c>
    </row>
    <row r="30" spans="1:3" ht="16" x14ac:dyDescent="0.2">
      <c r="A30" s="2" t="s">
        <v>664</v>
      </c>
      <c r="B30" s="4">
        <v>3454</v>
      </c>
      <c r="C30" s="4">
        <v>3432</v>
      </c>
    </row>
    <row r="31" spans="1:3" ht="16" x14ac:dyDescent="0.2">
      <c r="A31" s="2" t="s">
        <v>671</v>
      </c>
      <c r="B31" s="2" t="s">
        <v>5</v>
      </c>
      <c r="C31" s="2" t="s">
        <v>5</v>
      </c>
    </row>
    <row r="32" spans="1:3" ht="16" x14ac:dyDescent="0.2">
      <c r="A32" s="1" t="s">
        <v>661</v>
      </c>
      <c r="B32" s="2" t="s">
        <v>5</v>
      </c>
      <c r="C32" s="2" t="s">
        <v>5</v>
      </c>
    </row>
    <row r="33" spans="1:3" ht="16" x14ac:dyDescent="0.2">
      <c r="A33" s="2" t="s">
        <v>665</v>
      </c>
      <c r="B33" s="4">
        <v>16</v>
      </c>
      <c r="C33" s="2" t="s">
        <v>5</v>
      </c>
    </row>
    <row r="34" spans="1:3" ht="16" x14ac:dyDescent="0.2">
      <c r="A34" s="2" t="s">
        <v>216</v>
      </c>
      <c r="B34" s="2" t="s">
        <v>5</v>
      </c>
      <c r="C34" s="2" t="s">
        <v>5</v>
      </c>
    </row>
    <row r="35" spans="1:3" ht="16" x14ac:dyDescent="0.2">
      <c r="A35" s="1" t="s">
        <v>661</v>
      </c>
      <c r="B35" s="2" t="s">
        <v>5</v>
      </c>
      <c r="C35" s="2" t="s">
        <v>5</v>
      </c>
    </row>
    <row r="36" spans="1:3" ht="16" x14ac:dyDescent="0.2">
      <c r="A36" s="2" t="s">
        <v>662</v>
      </c>
      <c r="B36" s="4">
        <v>85</v>
      </c>
      <c r="C36" s="4">
        <v>85</v>
      </c>
    </row>
    <row r="37" spans="1:3" ht="16" x14ac:dyDescent="0.2">
      <c r="A37" s="2" t="s">
        <v>663</v>
      </c>
      <c r="B37" s="2" t="s">
        <v>111</v>
      </c>
      <c r="C37" s="2" t="s">
        <v>111</v>
      </c>
    </row>
    <row r="38" spans="1:3" ht="16" x14ac:dyDescent="0.2">
      <c r="A38" s="2" t="s">
        <v>664</v>
      </c>
      <c r="B38" s="4">
        <v>85</v>
      </c>
      <c r="C38" s="5">
        <v>85</v>
      </c>
    </row>
    <row r="39" spans="1:3" ht="16" x14ac:dyDescent="0.2">
      <c r="A39" s="2" t="s">
        <v>672</v>
      </c>
      <c r="B39" s="2" t="s">
        <v>5</v>
      </c>
      <c r="C39" s="2" t="s">
        <v>5</v>
      </c>
    </row>
    <row r="40" spans="1:3" ht="16" x14ac:dyDescent="0.2">
      <c r="A40" s="1" t="s">
        <v>661</v>
      </c>
      <c r="B40" s="2" t="s">
        <v>5</v>
      </c>
      <c r="C40" s="2" t="s">
        <v>5</v>
      </c>
    </row>
    <row r="41" spans="1:3" ht="16" x14ac:dyDescent="0.2">
      <c r="A41" s="2" t="s">
        <v>665</v>
      </c>
      <c r="B41" s="2" t="s">
        <v>111</v>
      </c>
      <c r="C41" s="2" t="s">
        <v>5</v>
      </c>
    </row>
  </sheetData>
  <mergeCells count="2">
    <mergeCell ref="A1:A2"/>
    <mergeCell ref="B1:C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6"/>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673</v>
      </c>
      <c r="B1" s="61" t="s">
        <v>1</v>
      </c>
      <c r="C1" s="60"/>
    </row>
    <row r="2" spans="1:3" ht="16" x14ac:dyDescent="0.2">
      <c r="A2" s="60"/>
      <c r="B2" s="12" t="s">
        <v>2</v>
      </c>
      <c r="C2" s="12" t="s">
        <v>75</v>
      </c>
    </row>
    <row r="3" spans="1:3" ht="16" x14ac:dyDescent="0.2">
      <c r="A3" s="1" t="s">
        <v>328</v>
      </c>
      <c r="B3" s="2" t="s">
        <v>5</v>
      </c>
      <c r="C3" s="2" t="s">
        <v>5</v>
      </c>
    </row>
    <row r="4" spans="1:3" ht="16" x14ac:dyDescent="0.2">
      <c r="A4" s="2" t="s">
        <v>674</v>
      </c>
      <c r="B4" s="5">
        <v>197</v>
      </c>
      <c r="C4" s="5">
        <v>197</v>
      </c>
    </row>
    <row r="5" spans="1:3" ht="16" x14ac:dyDescent="0.2">
      <c r="A5" s="2" t="s">
        <v>675</v>
      </c>
      <c r="B5" s="4">
        <v>202</v>
      </c>
      <c r="C5" s="4">
        <v>202</v>
      </c>
    </row>
    <row r="6" spans="1:3" ht="16" x14ac:dyDescent="0.2">
      <c r="A6" s="2" t="s">
        <v>676</v>
      </c>
      <c r="B6" s="5">
        <v>235</v>
      </c>
      <c r="C6" s="5">
        <v>241</v>
      </c>
    </row>
  </sheetData>
  <mergeCells count="2">
    <mergeCell ref="A1:A2"/>
    <mergeCell ref="B1:C1"/>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24"/>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677</v>
      </c>
      <c r="B1" s="12" t="s">
        <v>2</v>
      </c>
      <c r="C1" s="12" t="s">
        <v>75</v>
      </c>
    </row>
    <row r="2" spans="1:3" ht="16" x14ac:dyDescent="0.2">
      <c r="A2" s="1" t="s">
        <v>678</v>
      </c>
      <c r="B2" s="2" t="s">
        <v>5</v>
      </c>
      <c r="C2" s="2" t="s">
        <v>5</v>
      </c>
    </row>
    <row r="3" spans="1:3" ht="16" x14ac:dyDescent="0.2">
      <c r="A3" s="2" t="s">
        <v>679</v>
      </c>
      <c r="B3" s="5">
        <v>5373</v>
      </c>
      <c r="C3" s="5">
        <v>5351</v>
      </c>
    </row>
    <row r="4" spans="1:3" ht="16" x14ac:dyDescent="0.2">
      <c r="A4" s="2" t="s">
        <v>680</v>
      </c>
      <c r="B4" s="4">
        <v>3678</v>
      </c>
      <c r="C4" s="4">
        <v>3439</v>
      </c>
    </row>
    <row r="5" spans="1:3" ht="16" x14ac:dyDescent="0.2">
      <c r="A5" s="2" t="s">
        <v>681</v>
      </c>
      <c r="B5" s="2" t="s">
        <v>5</v>
      </c>
      <c r="C5" s="2" t="s">
        <v>5</v>
      </c>
    </row>
    <row r="6" spans="1:3" ht="16" x14ac:dyDescent="0.2">
      <c r="A6" s="1" t="s">
        <v>678</v>
      </c>
      <c r="B6" s="2" t="s">
        <v>5</v>
      </c>
      <c r="C6" s="2" t="s">
        <v>5</v>
      </c>
    </row>
    <row r="7" spans="1:3" ht="16" x14ac:dyDescent="0.2">
      <c r="A7" s="2" t="s">
        <v>679</v>
      </c>
      <c r="B7" s="4">
        <v>2545</v>
      </c>
      <c r="C7" s="4">
        <v>2546</v>
      </c>
    </row>
    <row r="8" spans="1:3" ht="16" x14ac:dyDescent="0.2">
      <c r="A8" s="2" t="s">
        <v>680</v>
      </c>
      <c r="B8" s="4">
        <v>1566</v>
      </c>
      <c r="C8" s="4">
        <v>1443</v>
      </c>
    </row>
    <row r="9" spans="1:3" ht="16" x14ac:dyDescent="0.2">
      <c r="A9" s="2" t="s">
        <v>682</v>
      </c>
      <c r="B9" s="2" t="s">
        <v>5</v>
      </c>
      <c r="C9" s="2" t="s">
        <v>5</v>
      </c>
    </row>
    <row r="10" spans="1:3" ht="16" x14ac:dyDescent="0.2">
      <c r="A10" s="1" t="s">
        <v>678</v>
      </c>
      <c r="B10" s="2" t="s">
        <v>5</v>
      </c>
      <c r="C10" s="2" t="s">
        <v>5</v>
      </c>
    </row>
    <row r="11" spans="1:3" ht="16" x14ac:dyDescent="0.2">
      <c r="A11" s="2" t="s">
        <v>679</v>
      </c>
      <c r="B11" s="4">
        <v>552</v>
      </c>
      <c r="C11" s="4">
        <v>552</v>
      </c>
    </row>
    <row r="12" spans="1:3" ht="16" x14ac:dyDescent="0.2">
      <c r="A12" s="2" t="s">
        <v>680</v>
      </c>
      <c r="B12" s="4">
        <v>465</v>
      </c>
      <c r="C12" s="4">
        <v>441</v>
      </c>
    </row>
    <row r="13" spans="1:3" ht="16" x14ac:dyDescent="0.2">
      <c r="A13" s="2" t="s">
        <v>683</v>
      </c>
      <c r="B13" s="2" t="s">
        <v>5</v>
      </c>
      <c r="C13" s="2" t="s">
        <v>5</v>
      </c>
    </row>
    <row r="14" spans="1:3" ht="16" x14ac:dyDescent="0.2">
      <c r="A14" s="1" t="s">
        <v>678</v>
      </c>
      <c r="B14" s="2" t="s">
        <v>5</v>
      </c>
      <c r="C14" s="2" t="s">
        <v>5</v>
      </c>
    </row>
    <row r="15" spans="1:3" ht="16" x14ac:dyDescent="0.2">
      <c r="A15" s="2" t="s">
        <v>679</v>
      </c>
      <c r="B15" s="4">
        <v>1358</v>
      </c>
      <c r="C15" s="4">
        <v>1356</v>
      </c>
    </row>
    <row r="16" spans="1:3" ht="16" x14ac:dyDescent="0.2">
      <c r="A16" s="2" t="s">
        <v>680</v>
      </c>
      <c r="B16" s="4">
        <v>837</v>
      </c>
      <c r="C16" s="4">
        <v>777</v>
      </c>
    </row>
    <row r="17" spans="1:3" ht="16" x14ac:dyDescent="0.2">
      <c r="A17" s="2" t="s">
        <v>684</v>
      </c>
      <c r="B17" s="2" t="s">
        <v>5</v>
      </c>
      <c r="C17" s="2" t="s">
        <v>5</v>
      </c>
    </row>
    <row r="18" spans="1:3" ht="16" x14ac:dyDescent="0.2">
      <c r="A18" s="1" t="s">
        <v>678</v>
      </c>
      <c r="B18" s="2" t="s">
        <v>5</v>
      </c>
      <c r="C18" s="2" t="s">
        <v>5</v>
      </c>
    </row>
    <row r="19" spans="1:3" ht="16" x14ac:dyDescent="0.2">
      <c r="A19" s="2" t="s">
        <v>679</v>
      </c>
      <c r="B19" s="4">
        <v>638</v>
      </c>
      <c r="C19" s="4">
        <v>621</v>
      </c>
    </row>
    <row r="20" spans="1:3" ht="16" x14ac:dyDescent="0.2">
      <c r="A20" s="2" t="s">
        <v>680</v>
      </c>
      <c r="B20" s="4">
        <v>569</v>
      </c>
      <c r="C20" s="4">
        <v>545</v>
      </c>
    </row>
    <row r="21" spans="1:3" ht="16" x14ac:dyDescent="0.2">
      <c r="A21" s="2" t="s">
        <v>216</v>
      </c>
      <c r="B21" s="2" t="s">
        <v>5</v>
      </c>
      <c r="C21" s="2" t="s">
        <v>5</v>
      </c>
    </row>
    <row r="22" spans="1:3" ht="16" x14ac:dyDescent="0.2">
      <c r="A22" s="1" t="s">
        <v>678</v>
      </c>
      <c r="B22" s="2" t="s">
        <v>5</v>
      </c>
      <c r="C22" s="2" t="s">
        <v>5</v>
      </c>
    </row>
    <row r="23" spans="1:3" ht="16" x14ac:dyDescent="0.2">
      <c r="A23" s="2" t="s">
        <v>679</v>
      </c>
      <c r="B23" s="4">
        <v>280</v>
      </c>
      <c r="C23" s="4">
        <v>276</v>
      </c>
    </row>
    <row r="24" spans="1:3" ht="16" x14ac:dyDescent="0.2">
      <c r="A24" s="2" t="s">
        <v>680</v>
      </c>
      <c r="B24" s="5">
        <v>241</v>
      </c>
      <c r="C24" s="5">
        <v>233</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7"/>
  <sheetViews>
    <sheetView workbookViewId="0"/>
  </sheetViews>
  <sheetFormatPr baseColWidth="10" defaultColWidth="8.83203125" defaultRowHeight="15" x14ac:dyDescent="0.2"/>
  <cols>
    <col min="1" max="1" width="80" customWidth="1"/>
    <col min="2" max="2" width="22" customWidth="1"/>
  </cols>
  <sheetData>
    <row r="1" spans="1:2" ht="32" x14ac:dyDescent="0.2">
      <c r="A1" s="11" t="s">
        <v>685</v>
      </c>
      <c r="B1" s="12" t="s">
        <v>686</v>
      </c>
    </row>
    <row r="2" spans="1:2" ht="16" x14ac:dyDescent="0.2">
      <c r="A2" s="1" t="s">
        <v>328</v>
      </c>
      <c r="B2" s="2" t="s">
        <v>5</v>
      </c>
    </row>
    <row r="3" spans="1:2" ht="16" x14ac:dyDescent="0.2">
      <c r="A3" s="2" t="s">
        <v>687</v>
      </c>
      <c r="B3" s="5">
        <v>224</v>
      </c>
    </row>
    <row r="4" spans="1:2" ht="16" x14ac:dyDescent="0.2">
      <c r="A4" s="2" t="s">
        <v>688</v>
      </c>
      <c r="B4" s="4">
        <v>199</v>
      </c>
    </row>
    <row r="5" spans="1:2" ht="16" x14ac:dyDescent="0.2">
      <c r="A5" s="2" t="s">
        <v>689</v>
      </c>
      <c r="B5" s="4">
        <v>194</v>
      </c>
    </row>
    <row r="6" spans="1:2" ht="16" x14ac:dyDescent="0.2">
      <c r="A6" s="2" t="s">
        <v>690</v>
      </c>
      <c r="B6" s="4">
        <v>174</v>
      </c>
    </row>
    <row r="7" spans="1:2" ht="16" x14ac:dyDescent="0.2">
      <c r="A7" s="2" t="s">
        <v>691</v>
      </c>
      <c r="B7" s="5">
        <v>147</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15"/>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692</v>
      </c>
      <c r="B1" s="61" t="s">
        <v>1</v>
      </c>
      <c r="C1" s="60"/>
      <c r="D1" s="60"/>
    </row>
    <row r="2" spans="1:4" ht="16" x14ac:dyDescent="0.2">
      <c r="A2" s="60"/>
      <c r="B2" s="12" t="s">
        <v>2</v>
      </c>
      <c r="C2" s="12" t="s">
        <v>75</v>
      </c>
      <c r="D2" s="12" t="s">
        <v>76</v>
      </c>
    </row>
    <row r="3" spans="1:4" ht="16" x14ac:dyDescent="0.2">
      <c r="A3" s="1" t="s">
        <v>331</v>
      </c>
      <c r="B3" s="2" t="s">
        <v>5</v>
      </c>
      <c r="C3" s="2" t="s">
        <v>5</v>
      </c>
      <c r="D3" s="2" t="s">
        <v>5</v>
      </c>
    </row>
    <row r="4" spans="1:4" ht="16" x14ac:dyDescent="0.2">
      <c r="A4" s="2" t="s">
        <v>92</v>
      </c>
      <c r="B4" s="5">
        <v>-2222</v>
      </c>
      <c r="C4" s="5">
        <v>-4935</v>
      </c>
      <c r="D4" s="5">
        <v>-4202</v>
      </c>
    </row>
    <row r="5" spans="1:4" ht="16" x14ac:dyDescent="0.2">
      <c r="A5" s="2" t="s">
        <v>693</v>
      </c>
      <c r="B5" s="2" t="s">
        <v>111</v>
      </c>
      <c r="C5" s="2" t="s">
        <v>111</v>
      </c>
      <c r="D5" s="2" t="s">
        <v>111</v>
      </c>
    </row>
    <row r="6" spans="1:4" ht="16" x14ac:dyDescent="0.2">
      <c r="A6" s="2" t="s">
        <v>694</v>
      </c>
      <c r="B6" s="4">
        <v>-2222</v>
      </c>
      <c r="C6" s="4">
        <v>-4935</v>
      </c>
      <c r="D6" s="4">
        <v>-4202</v>
      </c>
    </row>
    <row r="7" spans="1:4" ht="16" x14ac:dyDescent="0.2">
      <c r="A7" s="2" t="s">
        <v>695</v>
      </c>
      <c r="B7" s="5">
        <v>-2222</v>
      </c>
      <c r="C7" s="5">
        <v>-4935</v>
      </c>
      <c r="D7" s="5">
        <v>-4202</v>
      </c>
    </row>
    <row r="8" spans="1:4" ht="16" x14ac:dyDescent="0.2">
      <c r="A8" s="2" t="s">
        <v>696</v>
      </c>
      <c r="B8" s="7">
        <v>606.1</v>
      </c>
      <c r="C8" s="7">
        <v>595.20000000000005</v>
      </c>
      <c r="D8" s="4">
        <v>588</v>
      </c>
    </row>
    <row r="9" spans="1:4" ht="16" x14ac:dyDescent="0.2">
      <c r="A9" s="2" t="s">
        <v>697</v>
      </c>
      <c r="B9" s="7">
        <v>0.3</v>
      </c>
      <c r="C9" s="7">
        <v>0.3</v>
      </c>
      <c r="D9" s="7">
        <v>0.4</v>
      </c>
    </row>
    <row r="10" spans="1:4" ht="16" x14ac:dyDescent="0.2">
      <c r="A10" s="2" t="s">
        <v>698</v>
      </c>
      <c r="B10" s="7">
        <v>605.79999999999995</v>
      </c>
      <c r="C10" s="7">
        <v>594.9</v>
      </c>
      <c r="D10" s="7">
        <v>587.6</v>
      </c>
    </row>
    <row r="11" spans="1:4" ht="16" x14ac:dyDescent="0.2">
      <c r="A11" s="2" t="s">
        <v>699</v>
      </c>
      <c r="B11" s="7">
        <v>606.1</v>
      </c>
      <c r="C11" s="7">
        <v>595.20000000000005</v>
      </c>
      <c r="D11" s="4">
        <v>588</v>
      </c>
    </row>
    <row r="12" spans="1:4" ht="16" x14ac:dyDescent="0.2">
      <c r="A12" s="2" t="s">
        <v>697</v>
      </c>
      <c r="B12" s="7">
        <v>0.3</v>
      </c>
      <c r="C12" s="7">
        <v>0.3</v>
      </c>
      <c r="D12" s="7">
        <v>0.4</v>
      </c>
    </row>
    <row r="13" spans="1:4" ht="16" x14ac:dyDescent="0.2">
      <c r="A13" s="2" t="s">
        <v>700</v>
      </c>
      <c r="B13" s="7">
        <v>605.79999999999995</v>
      </c>
      <c r="C13" s="7">
        <v>594.9</v>
      </c>
      <c r="D13" s="7">
        <v>587.6</v>
      </c>
    </row>
    <row r="14" spans="1:4" ht="16" x14ac:dyDescent="0.2">
      <c r="A14" s="2" t="s">
        <v>93</v>
      </c>
      <c r="B14" s="6">
        <v>-3.67</v>
      </c>
      <c r="C14" s="6">
        <v>-8.3000000000000007</v>
      </c>
      <c r="D14" s="6">
        <v>-7.15</v>
      </c>
    </row>
    <row r="15" spans="1:4" ht="16" x14ac:dyDescent="0.2">
      <c r="A15" s="2" t="s">
        <v>94</v>
      </c>
      <c r="B15" s="6">
        <v>-3.67</v>
      </c>
      <c r="C15" s="6">
        <v>-8.3000000000000007</v>
      </c>
      <c r="D15" s="6">
        <v>-7.15</v>
      </c>
    </row>
  </sheetData>
  <mergeCells count="2">
    <mergeCell ref="A1:A2"/>
    <mergeCell ref="B1:D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14"/>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701</v>
      </c>
      <c r="B1" s="61" t="s">
        <v>1</v>
      </c>
      <c r="C1" s="60"/>
      <c r="D1" s="60"/>
    </row>
    <row r="2" spans="1:4" ht="16" x14ac:dyDescent="0.2">
      <c r="A2" s="60"/>
      <c r="B2" s="12" t="s">
        <v>2</v>
      </c>
      <c r="C2" s="12" t="s">
        <v>75</v>
      </c>
      <c r="D2" s="12" t="s">
        <v>76</v>
      </c>
    </row>
    <row r="3" spans="1:4" ht="16" x14ac:dyDescent="0.2">
      <c r="A3" s="2" t="s">
        <v>702</v>
      </c>
      <c r="B3" s="2" t="s">
        <v>5</v>
      </c>
      <c r="C3" s="2" t="s">
        <v>5</v>
      </c>
      <c r="D3" s="2" t="s">
        <v>5</v>
      </c>
    </row>
    <row r="4" spans="1:4" ht="16" x14ac:dyDescent="0.2">
      <c r="A4" s="1" t="s">
        <v>703</v>
      </c>
      <c r="B4" s="2" t="s">
        <v>5</v>
      </c>
      <c r="C4" s="2" t="s">
        <v>5</v>
      </c>
      <c r="D4" s="2" t="s">
        <v>5</v>
      </c>
    </row>
    <row r="5" spans="1:4" ht="16" x14ac:dyDescent="0.2">
      <c r="A5" s="2" t="s">
        <v>704</v>
      </c>
      <c r="B5" s="2" t="s">
        <v>111</v>
      </c>
      <c r="C5" s="2" t="s">
        <v>111</v>
      </c>
      <c r="D5" s="7">
        <v>2.9</v>
      </c>
    </row>
    <row r="6" spans="1:4" ht="16" x14ac:dyDescent="0.2">
      <c r="A6" s="2" t="s">
        <v>705</v>
      </c>
      <c r="B6" s="2" t="s">
        <v>5</v>
      </c>
      <c r="C6" s="2" t="s">
        <v>5</v>
      </c>
      <c r="D6" s="2" t="s">
        <v>5</v>
      </c>
    </row>
    <row r="7" spans="1:4" ht="16" x14ac:dyDescent="0.2">
      <c r="A7" s="1" t="s">
        <v>703</v>
      </c>
      <c r="B7" s="2" t="s">
        <v>5</v>
      </c>
      <c r="C7" s="2" t="s">
        <v>5</v>
      </c>
      <c r="D7" s="2" t="s">
        <v>5</v>
      </c>
    </row>
    <row r="8" spans="1:4" ht="16" x14ac:dyDescent="0.2">
      <c r="A8" s="2" t="s">
        <v>704</v>
      </c>
      <c r="B8" s="2" t="s">
        <v>111</v>
      </c>
      <c r="C8" s="7">
        <v>0.4</v>
      </c>
      <c r="D8" s="7">
        <v>0.8</v>
      </c>
    </row>
    <row r="9" spans="1:4" ht="16" x14ac:dyDescent="0.2">
      <c r="A9" s="2" t="s">
        <v>706</v>
      </c>
      <c r="B9" s="2" t="s">
        <v>5</v>
      </c>
      <c r="C9" s="2" t="s">
        <v>5</v>
      </c>
      <c r="D9" s="2" t="s">
        <v>5</v>
      </c>
    </row>
    <row r="10" spans="1:4" ht="16" x14ac:dyDescent="0.2">
      <c r="A10" s="1" t="s">
        <v>703</v>
      </c>
      <c r="B10" s="2" t="s">
        <v>5</v>
      </c>
      <c r="C10" s="2" t="s">
        <v>5</v>
      </c>
      <c r="D10" s="2" t="s">
        <v>5</v>
      </c>
    </row>
    <row r="11" spans="1:4" ht="16" x14ac:dyDescent="0.2">
      <c r="A11" s="2" t="s">
        <v>704</v>
      </c>
      <c r="B11" s="2" t="s">
        <v>111</v>
      </c>
      <c r="C11" s="4">
        <v>1</v>
      </c>
      <c r="D11" s="7">
        <v>0.4</v>
      </c>
    </row>
    <row r="12" spans="1:4" ht="16" x14ac:dyDescent="0.2">
      <c r="A12" s="2" t="s">
        <v>707</v>
      </c>
      <c r="B12" s="2" t="s">
        <v>5</v>
      </c>
      <c r="C12" s="2" t="s">
        <v>5</v>
      </c>
      <c r="D12" s="2" t="s">
        <v>5</v>
      </c>
    </row>
    <row r="13" spans="1:4" ht="16" x14ac:dyDescent="0.2">
      <c r="A13" s="1" t="s">
        <v>703</v>
      </c>
      <c r="B13" s="2" t="s">
        <v>5</v>
      </c>
      <c r="C13" s="2" t="s">
        <v>5</v>
      </c>
      <c r="D13" s="2" t="s">
        <v>5</v>
      </c>
    </row>
    <row r="14" spans="1:4" ht="16" x14ac:dyDescent="0.2">
      <c r="A14" s="2" t="s">
        <v>704</v>
      </c>
      <c r="B14" s="7">
        <v>0.8</v>
      </c>
      <c r="C14" s="7">
        <v>0.8</v>
      </c>
      <c r="D14" s="7">
        <v>0.3</v>
      </c>
    </row>
  </sheetData>
  <mergeCells count="2">
    <mergeCell ref="A1:A2"/>
    <mergeCell ref="B1:D1"/>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5"/>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708</v>
      </c>
      <c r="B1" s="61" t="s">
        <v>1</v>
      </c>
      <c r="C1" s="60"/>
      <c r="D1" s="60"/>
    </row>
    <row r="2" spans="1:4" ht="16" x14ac:dyDescent="0.2">
      <c r="A2" s="60"/>
      <c r="B2" s="12" t="s">
        <v>2</v>
      </c>
      <c r="C2" s="12" t="s">
        <v>75</v>
      </c>
      <c r="D2" s="12" t="s">
        <v>76</v>
      </c>
    </row>
    <row r="3" spans="1:4" ht="16" x14ac:dyDescent="0.2">
      <c r="A3" s="2" t="s">
        <v>709</v>
      </c>
      <c r="B3" s="2" t="s">
        <v>5</v>
      </c>
      <c r="C3" s="2" t="s">
        <v>5</v>
      </c>
      <c r="D3" s="2" t="s">
        <v>5</v>
      </c>
    </row>
    <row r="4" spans="1:4" ht="16" x14ac:dyDescent="0.2">
      <c r="A4" s="1" t="s">
        <v>703</v>
      </c>
      <c r="B4" s="2" t="s">
        <v>5</v>
      </c>
      <c r="C4" s="2" t="s">
        <v>5</v>
      </c>
      <c r="D4" s="2" t="s">
        <v>5</v>
      </c>
    </row>
    <row r="5" spans="1:4" ht="16" x14ac:dyDescent="0.2">
      <c r="A5" s="2" t="s">
        <v>704</v>
      </c>
      <c r="B5" s="7">
        <v>5.7</v>
      </c>
      <c r="C5" s="7">
        <v>3.5</v>
      </c>
      <c r="D5" s="7">
        <v>2.6</v>
      </c>
    </row>
  </sheetData>
  <mergeCells count="2">
    <mergeCell ref="A1:A2"/>
    <mergeCell ref="B1:D1"/>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6"/>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710</v>
      </c>
      <c r="B1" s="61" t="s">
        <v>1</v>
      </c>
      <c r="C1" s="60"/>
      <c r="D1" s="60"/>
    </row>
    <row r="2" spans="1:4" ht="16" x14ac:dyDescent="0.2">
      <c r="A2" s="60"/>
      <c r="B2" s="12" t="s">
        <v>2</v>
      </c>
      <c r="C2" s="12" t="s">
        <v>75</v>
      </c>
      <c r="D2" s="12" t="s">
        <v>76</v>
      </c>
    </row>
    <row r="3" spans="1:4" ht="16" x14ac:dyDescent="0.2">
      <c r="A3" s="1" t="s">
        <v>334</v>
      </c>
      <c r="B3" s="2" t="s">
        <v>5</v>
      </c>
      <c r="C3" s="2" t="s">
        <v>5</v>
      </c>
      <c r="D3" s="2" t="s">
        <v>5</v>
      </c>
    </row>
    <row r="4" spans="1:4" ht="16" x14ac:dyDescent="0.2">
      <c r="A4" s="2" t="s">
        <v>711</v>
      </c>
      <c r="B4" s="5">
        <v>-2512</v>
      </c>
      <c r="C4" s="5">
        <v>-5457</v>
      </c>
      <c r="D4" s="5">
        <v>-5475</v>
      </c>
    </row>
    <row r="5" spans="1:4" ht="16" x14ac:dyDescent="0.2">
      <c r="A5" s="2" t="s">
        <v>712</v>
      </c>
      <c r="B5" s="4">
        <v>507</v>
      </c>
      <c r="C5" s="4">
        <v>435</v>
      </c>
      <c r="D5" s="4">
        <v>442</v>
      </c>
    </row>
    <row r="6" spans="1:4" ht="16" x14ac:dyDescent="0.2">
      <c r="A6" s="2" t="s">
        <v>88</v>
      </c>
      <c r="B6" s="5">
        <v>-2005</v>
      </c>
      <c r="C6" s="5">
        <v>-5022</v>
      </c>
      <c r="D6" s="5">
        <v>-5033</v>
      </c>
    </row>
  </sheetData>
  <mergeCells count="2">
    <mergeCell ref="A1:A2"/>
    <mergeCell ref="B1:D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14"/>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713</v>
      </c>
      <c r="B1" s="61" t="s">
        <v>1</v>
      </c>
      <c r="C1" s="60"/>
      <c r="D1" s="60"/>
    </row>
    <row r="2" spans="1:4" ht="16" x14ac:dyDescent="0.2">
      <c r="A2" s="60"/>
      <c r="B2" s="12" t="s">
        <v>2</v>
      </c>
      <c r="C2" s="12" t="s">
        <v>75</v>
      </c>
      <c r="D2" s="12" t="s">
        <v>76</v>
      </c>
    </row>
    <row r="3" spans="1:4" ht="16" x14ac:dyDescent="0.2">
      <c r="A3" s="1" t="s">
        <v>714</v>
      </c>
      <c r="B3" s="2" t="s">
        <v>5</v>
      </c>
      <c r="C3" s="2" t="s">
        <v>5</v>
      </c>
      <c r="D3" s="2" t="s">
        <v>5</v>
      </c>
    </row>
    <row r="4" spans="1:4" ht="16" x14ac:dyDescent="0.2">
      <c r="A4" s="2" t="s">
        <v>715</v>
      </c>
      <c r="B4" s="5">
        <v>9</v>
      </c>
      <c r="C4" s="5">
        <v>-58</v>
      </c>
      <c r="D4" s="5">
        <v>-89</v>
      </c>
    </row>
    <row r="5" spans="1:4" ht="16" x14ac:dyDescent="0.2">
      <c r="A5" s="2" t="s">
        <v>712</v>
      </c>
      <c r="B5" s="4">
        <v>179</v>
      </c>
      <c r="C5" s="4">
        <v>142</v>
      </c>
      <c r="D5" s="4">
        <v>147</v>
      </c>
    </row>
    <row r="6" spans="1:4" ht="16" x14ac:dyDescent="0.2">
      <c r="A6" s="2" t="s">
        <v>716</v>
      </c>
      <c r="B6" s="4">
        <v>19</v>
      </c>
      <c r="C6" s="4">
        <v>-42</v>
      </c>
      <c r="D6" s="4">
        <v>42</v>
      </c>
    </row>
    <row r="7" spans="1:4" ht="16" x14ac:dyDescent="0.2">
      <c r="A7" s="2" t="s">
        <v>717</v>
      </c>
      <c r="B7" s="4">
        <v>207</v>
      </c>
      <c r="C7" s="4">
        <v>42</v>
      </c>
      <c r="D7" s="4">
        <v>100</v>
      </c>
    </row>
    <row r="8" spans="1:4" ht="16" x14ac:dyDescent="0.2">
      <c r="A8" s="1" t="s">
        <v>718</v>
      </c>
      <c r="B8" s="2" t="s">
        <v>5</v>
      </c>
      <c r="C8" s="2" t="s">
        <v>5</v>
      </c>
      <c r="D8" s="2" t="s">
        <v>5</v>
      </c>
    </row>
    <row r="9" spans="1:4" ht="16" x14ac:dyDescent="0.2">
      <c r="A9" s="2" t="s">
        <v>715</v>
      </c>
      <c r="B9" s="4">
        <v>6</v>
      </c>
      <c r="C9" s="4">
        <v>-62</v>
      </c>
      <c r="D9" s="4">
        <v>-855</v>
      </c>
    </row>
    <row r="10" spans="1:4" ht="16" x14ac:dyDescent="0.2">
      <c r="A10" s="2" t="s">
        <v>712</v>
      </c>
      <c r="B10" s="4">
        <v>5</v>
      </c>
      <c r="C10" s="4">
        <v>-3</v>
      </c>
      <c r="D10" s="4">
        <v>-12</v>
      </c>
    </row>
    <row r="11" spans="1:4" ht="16" x14ac:dyDescent="0.2">
      <c r="A11" s="2" t="s">
        <v>716</v>
      </c>
      <c r="B11" s="4">
        <v>19</v>
      </c>
      <c r="C11" s="4">
        <v>54</v>
      </c>
      <c r="D11" s="4">
        <v>24</v>
      </c>
    </row>
    <row r="12" spans="1:4" ht="16" x14ac:dyDescent="0.2">
      <c r="A12" s="2" t="s">
        <v>719</v>
      </c>
      <c r="B12" s="4">
        <v>30</v>
      </c>
      <c r="C12" s="4">
        <v>-11</v>
      </c>
      <c r="D12" s="4">
        <v>-843</v>
      </c>
    </row>
    <row r="13" spans="1:4" ht="16" x14ac:dyDescent="0.2">
      <c r="A13" s="1" t="s">
        <v>720</v>
      </c>
      <c r="B13" s="2" t="s">
        <v>5</v>
      </c>
      <c r="C13" s="2" t="s">
        <v>5</v>
      </c>
      <c r="D13" s="2" t="s">
        <v>5</v>
      </c>
    </row>
    <row r="14" spans="1:4" ht="16" x14ac:dyDescent="0.2">
      <c r="A14" s="2" t="s">
        <v>721</v>
      </c>
      <c r="B14" s="5">
        <v>237</v>
      </c>
      <c r="C14" s="5">
        <v>31</v>
      </c>
      <c r="D14" s="5">
        <v>-743</v>
      </c>
    </row>
  </sheetData>
  <mergeCells count="2">
    <mergeCell ref="A1:A2"/>
    <mergeCell ref="B1:D1"/>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D20"/>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722</v>
      </c>
      <c r="B1" s="61" t="s">
        <v>1</v>
      </c>
      <c r="C1" s="60"/>
      <c r="D1" s="60"/>
    </row>
    <row r="2" spans="1:4" ht="16" x14ac:dyDescent="0.2">
      <c r="A2" s="60"/>
      <c r="B2" s="12" t="s">
        <v>2</v>
      </c>
      <c r="C2" s="12" t="s">
        <v>75</v>
      </c>
      <c r="D2" s="12" t="s">
        <v>76</v>
      </c>
    </row>
    <row r="3" spans="1:4" ht="16" x14ac:dyDescent="0.2">
      <c r="A3" s="1" t="s">
        <v>723</v>
      </c>
      <c r="B3" s="2" t="s">
        <v>5</v>
      </c>
      <c r="C3" s="2" t="s">
        <v>5</v>
      </c>
      <c r="D3" s="2" t="s">
        <v>5</v>
      </c>
    </row>
    <row r="4" spans="1:4" ht="16" x14ac:dyDescent="0.2">
      <c r="A4" s="2" t="s">
        <v>724</v>
      </c>
      <c r="B4" s="5">
        <v>204</v>
      </c>
      <c r="C4" s="5">
        <v>-1317</v>
      </c>
      <c r="D4" s="5">
        <v>-1480</v>
      </c>
    </row>
    <row r="5" spans="1:4" ht="16" x14ac:dyDescent="0.2">
      <c r="A5" s="2" t="s">
        <v>725</v>
      </c>
      <c r="B5" s="4">
        <v>14743</v>
      </c>
      <c r="C5" s="4">
        <v>12301</v>
      </c>
      <c r="D5" s="2" t="s">
        <v>5</v>
      </c>
    </row>
    <row r="6" spans="1:4" ht="16" x14ac:dyDescent="0.2">
      <c r="A6" s="2" t="s">
        <v>726</v>
      </c>
      <c r="B6" s="4">
        <v>10363</v>
      </c>
      <c r="C6" s="4">
        <v>9306</v>
      </c>
      <c r="D6" s="2" t="s">
        <v>5</v>
      </c>
    </row>
    <row r="7" spans="1:4" ht="16" x14ac:dyDescent="0.2">
      <c r="A7" s="2" t="s">
        <v>727</v>
      </c>
      <c r="B7" s="4">
        <v>4550</v>
      </c>
      <c r="C7" s="4">
        <v>3162</v>
      </c>
      <c r="D7" s="2" t="s">
        <v>5</v>
      </c>
    </row>
    <row r="8" spans="1:4" ht="16" x14ac:dyDescent="0.2">
      <c r="A8" s="2" t="s">
        <v>728</v>
      </c>
      <c r="B8" s="4">
        <v>1388</v>
      </c>
      <c r="C8" s="2" t="s">
        <v>5</v>
      </c>
      <c r="D8" s="2" t="s">
        <v>5</v>
      </c>
    </row>
    <row r="9" spans="1:4" ht="16" x14ac:dyDescent="0.2">
      <c r="A9" s="2" t="s">
        <v>729</v>
      </c>
      <c r="B9" s="4">
        <v>-31</v>
      </c>
      <c r="C9" s="2" t="s">
        <v>5</v>
      </c>
      <c r="D9" s="2" t="s">
        <v>5</v>
      </c>
    </row>
    <row r="10" spans="1:4" ht="16" x14ac:dyDescent="0.2">
      <c r="A10" s="2" t="s">
        <v>730</v>
      </c>
      <c r="B10" s="4">
        <v>1088</v>
      </c>
      <c r="C10" s="5">
        <v>878</v>
      </c>
      <c r="D10" s="5">
        <v>790</v>
      </c>
    </row>
    <row r="11" spans="1:4" ht="16" x14ac:dyDescent="0.2">
      <c r="A11" s="2" t="s">
        <v>731</v>
      </c>
      <c r="B11" s="4">
        <v>620</v>
      </c>
      <c r="C11" s="2" t="s">
        <v>5</v>
      </c>
      <c r="D11" s="2" t="s">
        <v>5</v>
      </c>
    </row>
    <row r="12" spans="1:4" ht="16" x14ac:dyDescent="0.2">
      <c r="A12" s="2" t="s">
        <v>732</v>
      </c>
      <c r="B12" s="2" t="s">
        <v>5</v>
      </c>
      <c r="C12" s="2" t="s">
        <v>5</v>
      </c>
      <c r="D12" s="2" t="s">
        <v>5</v>
      </c>
    </row>
    <row r="13" spans="1:4" ht="16" x14ac:dyDescent="0.2">
      <c r="A13" s="1" t="s">
        <v>723</v>
      </c>
      <c r="B13" s="2" t="s">
        <v>5</v>
      </c>
      <c r="C13" s="2" t="s">
        <v>5</v>
      </c>
      <c r="D13" s="2" t="s">
        <v>5</v>
      </c>
    </row>
    <row r="14" spans="1:4" ht="16" x14ac:dyDescent="0.2">
      <c r="A14" s="2" t="s">
        <v>727</v>
      </c>
      <c r="B14" s="4">
        <v>1150</v>
      </c>
      <c r="C14" s="2" t="s">
        <v>5</v>
      </c>
      <c r="D14" s="2" t="s">
        <v>5</v>
      </c>
    </row>
    <row r="15" spans="1:4" ht="16" x14ac:dyDescent="0.2">
      <c r="A15" s="2" t="s">
        <v>733</v>
      </c>
      <c r="B15" s="2" t="s">
        <v>5</v>
      </c>
      <c r="C15" s="2" t="s">
        <v>5</v>
      </c>
      <c r="D15" s="2" t="s">
        <v>5</v>
      </c>
    </row>
    <row r="16" spans="1:4" ht="16" x14ac:dyDescent="0.2">
      <c r="A16" s="1" t="s">
        <v>723</v>
      </c>
      <c r="B16" s="2" t="s">
        <v>5</v>
      </c>
      <c r="C16" s="2" t="s">
        <v>5</v>
      </c>
      <c r="D16" s="2" t="s">
        <v>5</v>
      </c>
    </row>
    <row r="17" spans="1:4" ht="16" x14ac:dyDescent="0.2">
      <c r="A17" s="2" t="s">
        <v>727</v>
      </c>
      <c r="B17" s="4">
        <v>173</v>
      </c>
      <c r="C17" s="2" t="s">
        <v>5</v>
      </c>
      <c r="D17" s="2" t="s">
        <v>5</v>
      </c>
    </row>
    <row r="18" spans="1:4" ht="16" x14ac:dyDescent="0.2">
      <c r="A18" s="2" t="s">
        <v>302</v>
      </c>
      <c r="B18" s="2" t="s">
        <v>5</v>
      </c>
      <c r="C18" s="2" t="s">
        <v>5</v>
      </c>
      <c r="D18" s="2" t="s">
        <v>5</v>
      </c>
    </row>
    <row r="19" spans="1:4" ht="16" x14ac:dyDescent="0.2">
      <c r="A19" s="1" t="s">
        <v>723</v>
      </c>
      <c r="B19" s="2" t="s">
        <v>5</v>
      </c>
      <c r="C19" s="2" t="s">
        <v>5</v>
      </c>
      <c r="D19" s="2" t="s">
        <v>5</v>
      </c>
    </row>
    <row r="20" spans="1:4" ht="16" x14ac:dyDescent="0.2">
      <c r="A20" s="2" t="s">
        <v>727</v>
      </c>
      <c r="B20" s="5">
        <v>34</v>
      </c>
      <c r="C20" s="2" t="s">
        <v>5</v>
      </c>
      <c r="D20" s="2" t="s">
        <v>5</v>
      </c>
    </row>
  </sheetData>
  <mergeCells count="2">
    <mergeCell ref="A1:A2"/>
    <mergeCell ref="B1:D1"/>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20"/>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734</v>
      </c>
      <c r="B1" s="61" t="s">
        <v>1</v>
      </c>
      <c r="C1" s="60"/>
      <c r="D1" s="60"/>
    </row>
    <row r="2" spans="1:4" ht="16" x14ac:dyDescent="0.2">
      <c r="A2" s="60"/>
      <c r="B2" s="12" t="s">
        <v>2</v>
      </c>
      <c r="C2" s="12" t="s">
        <v>75</v>
      </c>
      <c r="D2" s="12" t="s">
        <v>76</v>
      </c>
    </row>
    <row r="3" spans="1:4" ht="16" x14ac:dyDescent="0.2">
      <c r="A3" s="1" t="s">
        <v>735</v>
      </c>
      <c r="B3" s="2" t="s">
        <v>5</v>
      </c>
      <c r="C3" s="2" t="s">
        <v>5</v>
      </c>
      <c r="D3" s="2" t="s">
        <v>5</v>
      </c>
    </row>
    <row r="4" spans="1:4" ht="16" x14ac:dyDescent="0.2">
      <c r="A4" s="2" t="s">
        <v>736</v>
      </c>
      <c r="B4" s="5">
        <v>-421</v>
      </c>
      <c r="C4" s="5">
        <v>-1054</v>
      </c>
      <c r="D4" s="5">
        <v>-1057</v>
      </c>
    </row>
    <row r="5" spans="1:4" ht="16" x14ac:dyDescent="0.2">
      <c r="A5" s="2" t="s">
        <v>727</v>
      </c>
      <c r="B5" s="4">
        <v>1150</v>
      </c>
      <c r="C5" s="4">
        <v>1199</v>
      </c>
      <c r="D5" s="4">
        <v>512</v>
      </c>
    </row>
    <row r="6" spans="1:4" ht="16" x14ac:dyDescent="0.2">
      <c r="A6" s="2" t="s">
        <v>737</v>
      </c>
      <c r="B6" s="4">
        <v>-472</v>
      </c>
      <c r="C6" s="4">
        <v>-204</v>
      </c>
      <c r="D6" s="4">
        <v>-189</v>
      </c>
    </row>
    <row r="7" spans="1:4" ht="16" x14ac:dyDescent="0.2">
      <c r="A7" s="2" t="s">
        <v>738</v>
      </c>
      <c r="B7" s="4">
        <v>-75</v>
      </c>
      <c r="C7" s="4">
        <v>-90</v>
      </c>
      <c r="D7" s="4">
        <v>-94</v>
      </c>
    </row>
    <row r="8" spans="1:4" ht="16" x14ac:dyDescent="0.2">
      <c r="A8" s="2" t="s">
        <v>739</v>
      </c>
      <c r="B8" s="4">
        <v>35</v>
      </c>
      <c r="C8" s="4">
        <v>64</v>
      </c>
      <c r="D8" s="4">
        <v>47</v>
      </c>
    </row>
    <row r="9" spans="1:4" ht="16" x14ac:dyDescent="0.2">
      <c r="A9" s="2" t="s">
        <v>740</v>
      </c>
      <c r="B9" s="4">
        <v>-29</v>
      </c>
      <c r="C9" s="2" t="s">
        <v>5</v>
      </c>
      <c r="D9" s="2" t="s">
        <v>5</v>
      </c>
    </row>
    <row r="10" spans="1:4" ht="16" x14ac:dyDescent="0.2">
      <c r="A10" s="2" t="s">
        <v>741</v>
      </c>
      <c r="B10" s="4">
        <v>49</v>
      </c>
      <c r="C10" s="4">
        <v>116</v>
      </c>
      <c r="D10" s="4">
        <v>38</v>
      </c>
    </row>
    <row r="11" spans="1:4" ht="16" x14ac:dyDescent="0.2">
      <c r="A11" s="2" t="s">
        <v>721</v>
      </c>
      <c r="B11" s="5">
        <v>237</v>
      </c>
      <c r="C11" s="5">
        <v>31</v>
      </c>
      <c r="D11" s="5">
        <v>-743</v>
      </c>
    </row>
    <row r="12" spans="1:4" ht="16" x14ac:dyDescent="0.2">
      <c r="A12" s="1" t="s">
        <v>742</v>
      </c>
      <c r="B12" s="2" t="s">
        <v>5</v>
      </c>
      <c r="C12" s="2" t="s">
        <v>5</v>
      </c>
      <c r="D12" s="2" t="s">
        <v>5</v>
      </c>
    </row>
    <row r="13" spans="1:4" ht="16" x14ac:dyDescent="0.2">
      <c r="A13" s="2" t="s">
        <v>736</v>
      </c>
      <c r="B13" s="8">
        <v>0.21</v>
      </c>
      <c r="C13" s="8">
        <v>0.21</v>
      </c>
      <c r="D13" s="8">
        <v>0.21</v>
      </c>
    </row>
    <row r="14" spans="1:4" ht="16" x14ac:dyDescent="0.2">
      <c r="A14" s="2" t="s">
        <v>727</v>
      </c>
      <c r="B14" s="2" t="s">
        <v>743</v>
      </c>
      <c r="C14" s="2" t="s">
        <v>744</v>
      </c>
      <c r="D14" s="2" t="s">
        <v>745</v>
      </c>
    </row>
    <row r="15" spans="1:4" ht="16" x14ac:dyDescent="0.2">
      <c r="A15" s="2" t="s">
        <v>727</v>
      </c>
      <c r="B15" s="9">
        <v>0.23599999999999999</v>
      </c>
      <c r="C15" s="9">
        <v>4.1000000000000002E-2</v>
      </c>
      <c r="D15" s="9">
        <v>3.7999999999999999E-2</v>
      </c>
    </row>
    <row r="16" spans="1:4" ht="16" x14ac:dyDescent="0.2">
      <c r="A16" s="2" t="s">
        <v>738</v>
      </c>
      <c r="B16" s="9">
        <v>3.6999999999999998E-2</v>
      </c>
      <c r="C16" s="9">
        <v>1.7999999999999999E-2</v>
      </c>
      <c r="D16" s="9">
        <v>1.9E-2</v>
      </c>
    </row>
    <row r="17" spans="1:4" ht="16" x14ac:dyDescent="0.2">
      <c r="A17" s="2" t="s">
        <v>739</v>
      </c>
      <c r="B17" s="2" t="s">
        <v>746</v>
      </c>
      <c r="C17" s="2" t="s">
        <v>747</v>
      </c>
      <c r="D17" s="2" t="s">
        <v>748</v>
      </c>
    </row>
    <row r="18" spans="1:4" ht="16" x14ac:dyDescent="0.2">
      <c r="A18" s="2" t="s">
        <v>740</v>
      </c>
      <c r="B18" s="9">
        <v>1.4999999999999999E-2</v>
      </c>
      <c r="C18" s="2" t="s">
        <v>5</v>
      </c>
      <c r="D18" s="2" t="s">
        <v>5</v>
      </c>
    </row>
    <row r="19" spans="1:4" ht="16" x14ac:dyDescent="0.2">
      <c r="A19" s="2" t="s">
        <v>741</v>
      </c>
      <c r="B19" s="2" t="s">
        <v>749</v>
      </c>
      <c r="C19" s="2" t="s">
        <v>750</v>
      </c>
      <c r="D19" s="2" t="s">
        <v>748</v>
      </c>
    </row>
    <row r="20" spans="1:4" ht="16" x14ac:dyDescent="0.2">
      <c r="A20" s="2" t="s">
        <v>751</v>
      </c>
      <c r="B20" s="2" t="s">
        <v>752</v>
      </c>
      <c r="C20" s="2" t="s">
        <v>753</v>
      </c>
      <c r="D20" s="9">
        <v>0.14699999999999999</v>
      </c>
    </row>
  </sheetData>
  <mergeCells count="2">
    <mergeCell ref="A1:A2"/>
    <mergeCell ref="B1:D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24"/>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754</v>
      </c>
      <c r="B1" s="12" t="s">
        <v>2</v>
      </c>
      <c r="C1" s="12" t="s">
        <v>75</v>
      </c>
    </row>
    <row r="2" spans="1:3" ht="16" x14ac:dyDescent="0.2">
      <c r="A2" s="1" t="s">
        <v>755</v>
      </c>
      <c r="B2" s="2" t="s">
        <v>5</v>
      </c>
      <c r="C2" s="2" t="s">
        <v>5</v>
      </c>
    </row>
    <row r="3" spans="1:3" ht="16" x14ac:dyDescent="0.2">
      <c r="A3" s="2" t="s">
        <v>756</v>
      </c>
      <c r="B3" s="5">
        <v>-5115</v>
      </c>
      <c r="C3" s="5">
        <v>-4369</v>
      </c>
    </row>
    <row r="4" spans="1:3" ht="16" x14ac:dyDescent="0.2">
      <c r="A4" s="2" t="s">
        <v>757</v>
      </c>
      <c r="B4" s="4">
        <v>2873</v>
      </c>
      <c r="C4" s="4">
        <v>1464</v>
      </c>
    </row>
    <row r="5" spans="1:3" ht="16" x14ac:dyDescent="0.2">
      <c r="A5" s="2" t="s">
        <v>758</v>
      </c>
      <c r="B5" s="4">
        <v>-1566</v>
      </c>
      <c r="C5" s="4">
        <v>-1641</v>
      </c>
    </row>
    <row r="6" spans="1:3" ht="16" x14ac:dyDescent="0.2">
      <c r="A6" s="2" t="s">
        <v>759</v>
      </c>
      <c r="B6" s="4">
        <v>1178</v>
      </c>
      <c r="C6" s="4">
        <v>1146</v>
      </c>
    </row>
    <row r="7" spans="1:3" ht="16" x14ac:dyDescent="0.2">
      <c r="A7" s="2" t="s">
        <v>760</v>
      </c>
      <c r="B7" s="4">
        <v>1162</v>
      </c>
      <c r="C7" s="4">
        <v>1095</v>
      </c>
    </row>
    <row r="8" spans="1:3" ht="16" x14ac:dyDescent="0.2">
      <c r="A8" s="2" t="s">
        <v>761</v>
      </c>
      <c r="B8" s="4">
        <v>956</v>
      </c>
      <c r="C8" s="4">
        <v>933</v>
      </c>
    </row>
    <row r="9" spans="1:3" ht="16" x14ac:dyDescent="0.2">
      <c r="A9" s="2" t="s">
        <v>762</v>
      </c>
      <c r="B9" s="4">
        <v>590</v>
      </c>
      <c r="C9" s="4">
        <v>660</v>
      </c>
    </row>
    <row r="10" spans="1:3" ht="16" x14ac:dyDescent="0.2">
      <c r="A10" s="2" t="s">
        <v>763</v>
      </c>
      <c r="B10" s="4">
        <v>310</v>
      </c>
      <c r="C10" s="4">
        <v>425</v>
      </c>
    </row>
    <row r="11" spans="1:3" ht="16" x14ac:dyDescent="0.2">
      <c r="A11" s="2" t="s">
        <v>216</v>
      </c>
      <c r="B11" s="4">
        <v>304</v>
      </c>
      <c r="C11" s="4">
        <v>179</v>
      </c>
    </row>
    <row r="12" spans="1:3" ht="16" x14ac:dyDescent="0.2">
      <c r="A12" s="2" t="s">
        <v>764</v>
      </c>
      <c r="B12" s="4">
        <v>4380</v>
      </c>
      <c r="C12" s="4">
        <v>2995</v>
      </c>
    </row>
    <row r="13" spans="1:3" ht="16" x14ac:dyDescent="0.2">
      <c r="A13" s="2" t="s">
        <v>727</v>
      </c>
      <c r="B13" s="4">
        <v>-4550</v>
      </c>
      <c r="C13" s="4">
        <v>-3162</v>
      </c>
    </row>
    <row r="14" spans="1:3" ht="16" x14ac:dyDescent="0.2">
      <c r="A14" s="2" t="s">
        <v>765</v>
      </c>
      <c r="B14" s="4">
        <v>-170</v>
      </c>
      <c r="C14" s="4">
        <v>-167</v>
      </c>
    </row>
    <row r="15" spans="1:3" ht="16" x14ac:dyDescent="0.2">
      <c r="A15" s="2" t="s">
        <v>766</v>
      </c>
      <c r="B15" s="2" t="s">
        <v>5</v>
      </c>
      <c r="C15" s="2" t="s">
        <v>5</v>
      </c>
    </row>
    <row r="16" spans="1:3" ht="16" x14ac:dyDescent="0.2">
      <c r="A16" s="1" t="s">
        <v>755</v>
      </c>
      <c r="B16" s="2" t="s">
        <v>5</v>
      </c>
      <c r="C16" s="2" t="s">
        <v>5</v>
      </c>
    </row>
    <row r="17" spans="1:3" ht="16" x14ac:dyDescent="0.2">
      <c r="A17" s="2" t="s">
        <v>767</v>
      </c>
      <c r="B17" s="4">
        <v>2551</v>
      </c>
      <c r="C17" s="4">
        <v>2082</v>
      </c>
    </row>
    <row r="18" spans="1:3" ht="16" x14ac:dyDescent="0.2">
      <c r="A18" s="2" t="s">
        <v>768</v>
      </c>
      <c r="B18" s="4">
        <v>1224</v>
      </c>
      <c r="C18" s="2" t="s">
        <v>5</v>
      </c>
    </row>
    <row r="19" spans="1:3" ht="16" x14ac:dyDescent="0.2">
      <c r="A19" s="2" t="s">
        <v>769</v>
      </c>
      <c r="B19" s="4">
        <v>1327</v>
      </c>
      <c r="C19" s="2" t="s">
        <v>5</v>
      </c>
    </row>
    <row r="20" spans="1:3" ht="16" x14ac:dyDescent="0.2">
      <c r="A20" s="2" t="s">
        <v>770</v>
      </c>
      <c r="B20" s="2" t="s">
        <v>5</v>
      </c>
      <c r="C20" s="2" t="s">
        <v>5</v>
      </c>
    </row>
    <row r="21" spans="1:3" ht="16" x14ac:dyDescent="0.2">
      <c r="A21" s="1" t="s">
        <v>755</v>
      </c>
      <c r="B21" s="2" t="s">
        <v>5</v>
      </c>
      <c r="C21" s="2" t="s">
        <v>5</v>
      </c>
    </row>
    <row r="22" spans="1:3" ht="16" x14ac:dyDescent="0.2">
      <c r="A22" s="2" t="s">
        <v>767</v>
      </c>
      <c r="B22" s="4">
        <v>1137</v>
      </c>
      <c r="C22" s="5">
        <v>1021</v>
      </c>
    </row>
    <row r="23" spans="1:3" ht="16" x14ac:dyDescent="0.2">
      <c r="A23" s="2" t="s">
        <v>768</v>
      </c>
      <c r="B23" s="4">
        <v>575</v>
      </c>
      <c r="C23" s="2" t="s">
        <v>5</v>
      </c>
    </row>
    <row r="24" spans="1:3" ht="16" x14ac:dyDescent="0.2">
      <c r="A24" s="2" t="s">
        <v>769</v>
      </c>
      <c r="B24" s="5">
        <v>562</v>
      </c>
      <c r="C24" s="2" t="s">
        <v>5</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6"/>
  <sheetViews>
    <sheetView workbookViewId="0"/>
  </sheetViews>
  <sheetFormatPr baseColWidth="10" defaultColWidth="8.83203125" defaultRowHeight="15" x14ac:dyDescent="0.2"/>
  <cols>
    <col min="1" max="1" width="80" customWidth="1"/>
    <col min="2" max="3" width="14" customWidth="1"/>
  </cols>
  <sheetData>
    <row r="1" spans="1:3" ht="16" x14ac:dyDescent="0.2">
      <c r="A1" s="11" t="s">
        <v>771</v>
      </c>
      <c r="B1" s="12" t="s">
        <v>2</v>
      </c>
      <c r="C1" s="12" t="s">
        <v>75</v>
      </c>
    </row>
    <row r="2" spans="1:3" ht="16" x14ac:dyDescent="0.2">
      <c r="A2" s="1" t="s">
        <v>334</v>
      </c>
      <c r="B2" s="2" t="s">
        <v>5</v>
      </c>
      <c r="C2" s="2" t="s">
        <v>5</v>
      </c>
    </row>
    <row r="3" spans="1:3" ht="16" x14ac:dyDescent="0.2">
      <c r="A3" s="2" t="s">
        <v>725</v>
      </c>
      <c r="B3" s="5">
        <v>14743</v>
      </c>
      <c r="C3" s="5">
        <v>12301</v>
      </c>
    </row>
    <row r="4" spans="1:3" ht="16" x14ac:dyDescent="0.2">
      <c r="A4" s="2" t="s">
        <v>726</v>
      </c>
      <c r="B4" s="4">
        <v>-10363</v>
      </c>
      <c r="C4" s="4">
        <v>-9306</v>
      </c>
    </row>
    <row r="5" spans="1:3" ht="16" x14ac:dyDescent="0.2">
      <c r="A5" s="2" t="s">
        <v>727</v>
      </c>
      <c r="B5" s="4">
        <v>-4550</v>
      </c>
      <c r="C5" s="4">
        <v>-3162</v>
      </c>
    </row>
    <row r="6" spans="1:3" ht="16" x14ac:dyDescent="0.2">
      <c r="A6" s="2" t="s">
        <v>772</v>
      </c>
      <c r="B6" s="5">
        <v>170</v>
      </c>
      <c r="C6" s="5">
        <v>167</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9"/>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773</v>
      </c>
      <c r="B1" s="61" t="s">
        <v>1</v>
      </c>
      <c r="C1" s="60"/>
      <c r="D1" s="60"/>
    </row>
    <row r="2" spans="1:4" ht="16" x14ac:dyDescent="0.2">
      <c r="A2" s="60"/>
      <c r="B2" s="12" t="s">
        <v>2</v>
      </c>
      <c r="C2" s="12" t="s">
        <v>75</v>
      </c>
      <c r="D2" s="12" t="s">
        <v>76</v>
      </c>
    </row>
    <row r="3" spans="1:4" ht="32" x14ac:dyDescent="0.2">
      <c r="A3" s="1" t="s">
        <v>774</v>
      </c>
      <c r="B3" s="2" t="s">
        <v>5</v>
      </c>
      <c r="C3" s="2" t="s">
        <v>5</v>
      </c>
      <c r="D3" s="2" t="s">
        <v>5</v>
      </c>
    </row>
    <row r="4" spans="1:4" ht="16" x14ac:dyDescent="0.2">
      <c r="A4" s="2" t="s">
        <v>775</v>
      </c>
      <c r="B4" s="5">
        <v>915</v>
      </c>
      <c r="C4" s="5">
        <v>858</v>
      </c>
      <c r="D4" s="5">
        <v>966</v>
      </c>
    </row>
    <row r="5" spans="1:4" ht="16" x14ac:dyDescent="0.2">
      <c r="A5" s="2" t="s">
        <v>776</v>
      </c>
      <c r="B5" s="4">
        <v>38</v>
      </c>
      <c r="C5" s="4">
        <v>17</v>
      </c>
      <c r="D5" s="4">
        <v>64</v>
      </c>
    </row>
    <row r="6" spans="1:4" ht="16" x14ac:dyDescent="0.2">
      <c r="A6" s="2" t="s">
        <v>777</v>
      </c>
      <c r="B6" s="4">
        <v>-3</v>
      </c>
      <c r="C6" s="4">
        <v>-51</v>
      </c>
      <c r="D6" s="4">
        <v>-245</v>
      </c>
    </row>
    <row r="7" spans="1:4" ht="16" x14ac:dyDescent="0.2">
      <c r="A7" s="2" t="s">
        <v>778</v>
      </c>
      <c r="B7" s="4">
        <v>181</v>
      </c>
      <c r="C7" s="4">
        <v>91</v>
      </c>
      <c r="D7" s="4">
        <v>73</v>
      </c>
    </row>
    <row r="8" spans="1:4" ht="16" x14ac:dyDescent="0.2">
      <c r="A8" s="2" t="s">
        <v>779</v>
      </c>
      <c r="B8" s="2" t="s">
        <v>111</v>
      </c>
      <c r="C8" s="2" t="s">
        <v>111</v>
      </c>
      <c r="D8" s="2" t="s">
        <v>111</v>
      </c>
    </row>
    <row r="9" spans="1:4" ht="16" x14ac:dyDescent="0.2">
      <c r="A9" s="2" t="s">
        <v>780</v>
      </c>
      <c r="B9" s="5">
        <v>1131</v>
      </c>
      <c r="C9" s="5">
        <v>915</v>
      </c>
      <c r="D9" s="5">
        <v>858</v>
      </c>
    </row>
  </sheetData>
  <mergeCells count="2">
    <mergeCell ref="A1:A2"/>
    <mergeCell ref="B1:D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D19"/>
  <sheetViews>
    <sheetView workbookViewId="0"/>
  </sheetViews>
  <sheetFormatPr baseColWidth="10" defaultColWidth="8.83203125" defaultRowHeight="15" x14ac:dyDescent="0.2"/>
  <cols>
    <col min="1" max="1" width="80" customWidth="1"/>
    <col min="2" max="4" width="14" customWidth="1"/>
  </cols>
  <sheetData>
    <row r="1" spans="1:4" ht="16" x14ac:dyDescent="0.2">
      <c r="A1" s="11" t="s">
        <v>781</v>
      </c>
      <c r="B1" s="12" t="s">
        <v>2</v>
      </c>
      <c r="C1" s="12" t="s">
        <v>75</v>
      </c>
      <c r="D1" s="12" t="s">
        <v>76</v>
      </c>
    </row>
    <row r="2" spans="1:4" ht="16" x14ac:dyDescent="0.2">
      <c r="A2" s="1" t="s">
        <v>782</v>
      </c>
      <c r="B2" s="2" t="s">
        <v>5</v>
      </c>
      <c r="C2" s="2" t="s">
        <v>5</v>
      </c>
      <c r="D2" s="2" t="s">
        <v>5</v>
      </c>
    </row>
    <row r="3" spans="1:4" ht="16" x14ac:dyDescent="0.2">
      <c r="A3" s="2" t="s">
        <v>783</v>
      </c>
      <c r="B3" s="5">
        <v>-89</v>
      </c>
      <c r="C3" s="5">
        <v>-116</v>
      </c>
      <c r="D3" s="5">
        <v>-390</v>
      </c>
    </row>
    <row r="4" spans="1:4" ht="16" x14ac:dyDescent="0.2">
      <c r="A4" s="2" t="s">
        <v>300</v>
      </c>
      <c r="B4" s="4">
        <v>2649</v>
      </c>
      <c r="C4" s="4">
        <v>2517</v>
      </c>
      <c r="D4" s="2" t="s">
        <v>5</v>
      </c>
    </row>
    <row r="5" spans="1:4" ht="16" x14ac:dyDescent="0.2">
      <c r="A5" s="2" t="s">
        <v>784</v>
      </c>
      <c r="B5" s="2" t="s">
        <v>5</v>
      </c>
      <c r="C5" s="2" t="s">
        <v>5</v>
      </c>
      <c r="D5" s="2" t="s">
        <v>5</v>
      </c>
    </row>
    <row r="6" spans="1:4" ht="16" x14ac:dyDescent="0.2">
      <c r="A6" s="1" t="s">
        <v>782</v>
      </c>
      <c r="B6" s="2" t="s">
        <v>5</v>
      </c>
      <c r="C6" s="2" t="s">
        <v>5</v>
      </c>
      <c r="D6" s="2" t="s">
        <v>5</v>
      </c>
    </row>
    <row r="7" spans="1:4" ht="16" x14ac:dyDescent="0.2">
      <c r="A7" s="2" t="s">
        <v>785</v>
      </c>
      <c r="B7" s="4">
        <v>970</v>
      </c>
      <c r="C7" s="4">
        <v>800</v>
      </c>
      <c r="D7" s="2" t="s">
        <v>5</v>
      </c>
    </row>
    <row r="8" spans="1:4" ht="16" x14ac:dyDescent="0.2">
      <c r="A8" s="2" t="s">
        <v>666</v>
      </c>
      <c r="B8" s="2" t="s">
        <v>5</v>
      </c>
      <c r="C8" s="2" t="s">
        <v>5</v>
      </c>
      <c r="D8" s="2" t="s">
        <v>5</v>
      </c>
    </row>
    <row r="9" spans="1:4" ht="16" x14ac:dyDescent="0.2">
      <c r="A9" s="1" t="s">
        <v>782</v>
      </c>
      <c r="B9" s="2" t="s">
        <v>5</v>
      </c>
      <c r="C9" s="2" t="s">
        <v>5</v>
      </c>
      <c r="D9" s="2" t="s">
        <v>5</v>
      </c>
    </row>
    <row r="10" spans="1:4" ht="16" x14ac:dyDescent="0.2">
      <c r="A10" s="2" t="s">
        <v>785</v>
      </c>
      <c r="B10" s="4">
        <v>57</v>
      </c>
      <c r="C10" s="4">
        <v>293</v>
      </c>
      <c r="D10" s="2" t="s">
        <v>5</v>
      </c>
    </row>
    <row r="11" spans="1:4" ht="16" x14ac:dyDescent="0.2">
      <c r="A11" s="2" t="s">
        <v>670</v>
      </c>
      <c r="B11" s="2" t="s">
        <v>5</v>
      </c>
      <c r="C11" s="2" t="s">
        <v>5</v>
      </c>
      <c r="D11" s="2" t="s">
        <v>5</v>
      </c>
    </row>
    <row r="12" spans="1:4" ht="16" x14ac:dyDescent="0.2">
      <c r="A12" s="1" t="s">
        <v>782</v>
      </c>
      <c r="B12" s="2" t="s">
        <v>5</v>
      </c>
      <c r="C12" s="2" t="s">
        <v>5</v>
      </c>
      <c r="D12" s="2" t="s">
        <v>5</v>
      </c>
    </row>
    <row r="13" spans="1:4" ht="16" x14ac:dyDescent="0.2">
      <c r="A13" s="2" t="s">
        <v>785</v>
      </c>
      <c r="B13" s="4">
        <v>1526</v>
      </c>
      <c r="C13" s="4">
        <v>1390</v>
      </c>
      <c r="D13" s="2" t="s">
        <v>5</v>
      </c>
    </row>
    <row r="14" spans="1:4" ht="16" x14ac:dyDescent="0.2">
      <c r="A14" s="2" t="s">
        <v>786</v>
      </c>
      <c r="B14" s="2" t="s">
        <v>5</v>
      </c>
      <c r="C14" s="2" t="s">
        <v>5</v>
      </c>
      <c r="D14" s="2" t="s">
        <v>5</v>
      </c>
    </row>
    <row r="15" spans="1:4" ht="16" x14ac:dyDescent="0.2">
      <c r="A15" s="1" t="s">
        <v>782</v>
      </c>
      <c r="B15" s="2" t="s">
        <v>5</v>
      </c>
      <c r="C15" s="2" t="s">
        <v>5</v>
      </c>
      <c r="D15" s="2" t="s">
        <v>5</v>
      </c>
    </row>
    <row r="16" spans="1:4" ht="16" x14ac:dyDescent="0.2">
      <c r="A16" s="2" t="s">
        <v>785</v>
      </c>
      <c r="B16" s="4">
        <v>160</v>
      </c>
      <c r="C16" s="4">
        <v>145</v>
      </c>
      <c r="D16" s="2" t="s">
        <v>5</v>
      </c>
    </row>
    <row r="17" spans="1:4" ht="16" x14ac:dyDescent="0.2">
      <c r="A17" s="2" t="s">
        <v>216</v>
      </c>
      <c r="B17" s="2" t="s">
        <v>5</v>
      </c>
      <c r="C17" s="2" t="s">
        <v>5</v>
      </c>
      <c r="D17" s="2" t="s">
        <v>5</v>
      </c>
    </row>
    <row r="18" spans="1:4" ht="16" x14ac:dyDescent="0.2">
      <c r="A18" s="1" t="s">
        <v>782</v>
      </c>
      <c r="B18" s="2" t="s">
        <v>5</v>
      </c>
      <c r="C18" s="2" t="s">
        <v>5</v>
      </c>
      <c r="D18" s="2" t="s">
        <v>5</v>
      </c>
    </row>
    <row r="19" spans="1:4" ht="16" x14ac:dyDescent="0.2">
      <c r="A19" s="2" t="s">
        <v>785</v>
      </c>
      <c r="B19" s="5">
        <v>25</v>
      </c>
      <c r="C19" s="5">
        <v>5</v>
      </c>
      <c r="D19" s="2" t="s">
        <v>5</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33"/>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787</v>
      </c>
      <c r="B1" s="61" t="s">
        <v>1</v>
      </c>
      <c r="C1" s="60"/>
    </row>
    <row r="2" spans="1:3" ht="16" x14ac:dyDescent="0.2">
      <c r="A2" s="60"/>
      <c r="B2" s="12" t="s">
        <v>2</v>
      </c>
      <c r="C2" s="12" t="s">
        <v>75</v>
      </c>
    </row>
    <row r="3" spans="1:3" ht="16" x14ac:dyDescent="0.2">
      <c r="A3" s="1" t="s">
        <v>788</v>
      </c>
      <c r="B3" s="2" t="s">
        <v>5</v>
      </c>
      <c r="C3" s="2" t="s">
        <v>5</v>
      </c>
    </row>
    <row r="4" spans="1:3" ht="16" x14ac:dyDescent="0.2">
      <c r="A4" s="2" t="s">
        <v>789</v>
      </c>
      <c r="B4" s="5">
        <v>-116</v>
      </c>
      <c r="C4" s="5">
        <v>-390</v>
      </c>
    </row>
    <row r="5" spans="1:3" ht="16" x14ac:dyDescent="0.2">
      <c r="A5" s="2" t="s">
        <v>790</v>
      </c>
      <c r="B5" s="4">
        <v>-23</v>
      </c>
      <c r="C5" s="4">
        <v>-91</v>
      </c>
    </row>
    <row r="6" spans="1:3" ht="16" x14ac:dyDescent="0.2">
      <c r="A6" s="2" t="s">
        <v>791</v>
      </c>
      <c r="B6" s="4">
        <v>-367</v>
      </c>
      <c r="C6" s="4">
        <v>-747</v>
      </c>
    </row>
    <row r="7" spans="1:3" ht="16" x14ac:dyDescent="0.2">
      <c r="A7" s="2" t="s">
        <v>792</v>
      </c>
      <c r="B7" s="4">
        <v>-55</v>
      </c>
      <c r="C7" s="4">
        <v>-18</v>
      </c>
    </row>
    <row r="8" spans="1:3" ht="16" x14ac:dyDescent="0.2">
      <c r="A8" s="2" t="s">
        <v>793</v>
      </c>
      <c r="B8" s="4">
        <v>-6</v>
      </c>
      <c r="C8" s="4">
        <v>2</v>
      </c>
    </row>
    <row r="9" spans="1:3" ht="16" x14ac:dyDescent="0.2">
      <c r="A9" s="2" t="s">
        <v>794</v>
      </c>
      <c r="B9" s="4">
        <v>4</v>
      </c>
      <c r="C9" s="4">
        <v>21</v>
      </c>
    </row>
    <row r="10" spans="1:3" ht="16" x14ac:dyDescent="0.2">
      <c r="A10" s="2" t="s">
        <v>795</v>
      </c>
      <c r="B10" s="2" t="s">
        <v>5</v>
      </c>
      <c r="C10" s="4">
        <v>-37</v>
      </c>
    </row>
    <row r="11" spans="1:3" ht="16" x14ac:dyDescent="0.2">
      <c r="A11" s="2" t="s">
        <v>796</v>
      </c>
      <c r="B11" s="4">
        <v>4</v>
      </c>
      <c r="C11" s="2" t="s">
        <v>5</v>
      </c>
    </row>
    <row r="12" spans="1:3" ht="16" x14ac:dyDescent="0.2">
      <c r="A12" s="2" t="s">
        <v>797</v>
      </c>
      <c r="B12" s="4">
        <v>-2</v>
      </c>
      <c r="C12" s="4">
        <v>-76</v>
      </c>
    </row>
    <row r="13" spans="1:3" ht="16" x14ac:dyDescent="0.2">
      <c r="A13" s="2" t="s">
        <v>798</v>
      </c>
      <c r="B13" s="4">
        <v>29</v>
      </c>
      <c r="C13" s="4">
        <v>260</v>
      </c>
    </row>
    <row r="14" spans="1:3" ht="16" x14ac:dyDescent="0.2">
      <c r="A14" s="2" t="s">
        <v>799</v>
      </c>
      <c r="B14" s="2" t="s">
        <v>111</v>
      </c>
      <c r="C14" s="4">
        <v>47</v>
      </c>
    </row>
    <row r="15" spans="1:3" ht="16" x14ac:dyDescent="0.2">
      <c r="A15" s="2" t="s">
        <v>800</v>
      </c>
      <c r="B15" s="4">
        <v>34</v>
      </c>
      <c r="C15" s="4">
        <v>444</v>
      </c>
    </row>
    <row r="16" spans="1:3" ht="16" x14ac:dyDescent="0.2">
      <c r="A16" s="2" t="s">
        <v>801</v>
      </c>
      <c r="B16" s="4">
        <v>4</v>
      </c>
      <c r="C16" s="4">
        <v>12</v>
      </c>
    </row>
    <row r="17" spans="1:3" ht="16" x14ac:dyDescent="0.2">
      <c r="A17" s="2" t="s">
        <v>802</v>
      </c>
      <c r="B17" s="4">
        <v>4</v>
      </c>
      <c r="C17" s="4">
        <v>12</v>
      </c>
    </row>
    <row r="18" spans="1:3" ht="16" x14ac:dyDescent="0.2">
      <c r="A18" s="2" t="s">
        <v>803</v>
      </c>
      <c r="B18" s="4">
        <v>-89</v>
      </c>
      <c r="C18" s="4">
        <v>-116</v>
      </c>
    </row>
    <row r="19" spans="1:3" ht="16" x14ac:dyDescent="0.2">
      <c r="A19" s="2" t="s">
        <v>804</v>
      </c>
      <c r="B19" s="4">
        <v>-19</v>
      </c>
      <c r="C19" s="4">
        <v>-23</v>
      </c>
    </row>
    <row r="20" spans="1:3" ht="16" x14ac:dyDescent="0.2">
      <c r="A20" s="2" t="s">
        <v>805</v>
      </c>
      <c r="B20" s="4">
        <v>-331</v>
      </c>
      <c r="C20" s="4">
        <v>-367</v>
      </c>
    </row>
    <row r="21" spans="1:3" ht="16" x14ac:dyDescent="0.2">
      <c r="A21" s="2" t="s">
        <v>806</v>
      </c>
      <c r="B21" s="4">
        <v>-51</v>
      </c>
      <c r="C21" s="4">
        <v>-55</v>
      </c>
    </row>
    <row r="22" spans="1:3" ht="16" x14ac:dyDescent="0.2">
      <c r="A22" s="2" t="s">
        <v>807</v>
      </c>
      <c r="B22" s="2" t="s">
        <v>5</v>
      </c>
      <c r="C22" s="2" t="s">
        <v>5</v>
      </c>
    </row>
    <row r="23" spans="1:3" ht="16" x14ac:dyDescent="0.2">
      <c r="A23" s="1" t="s">
        <v>788</v>
      </c>
      <c r="B23" s="2" t="s">
        <v>5</v>
      </c>
      <c r="C23" s="2" t="s">
        <v>5</v>
      </c>
    </row>
    <row r="24" spans="1:3" ht="16" x14ac:dyDescent="0.2">
      <c r="A24" s="2" t="s">
        <v>791</v>
      </c>
      <c r="B24" s="4">
        <v>-85</v>
      </c>
      <c r="C24" s="4">
        <v>-62</v>
      </c>
    </row>
    <row r="25" spans="1:3" ht="16" x14ac:dyDescent="0.2">
      <c r="A25" s="2" t="s">
        <v>797</v>
      </c>
      <c r="B25" s="4">
        <v>-30</v>
      </c>
      <c r="C25" s="4">
        <v>-27</v>
      </c>
    </row>
    <row r="26" spans="1:3" ht="16" x14ac:dyDescent="0.2">
      <c r="A26" s="2" t="s">
        <v>800</v>
      </c>
      <c r="B26" s="4">
        <v>5</v>
      </c>
      <c r="C26" s="4">
        <v>4</v>
      </c>
    </row>
    <row r="27" spans="1:3" ht="16" x14ac:dyDescent="0.2">
      <c r="A27" s="2" t="s">
        <v>805</v>
      </c>
      <c r="B27" s="4">
        <v>-50</v>
      </c>
      <c r="C27" s="4">
        <v>-85</v>
      </c>
    </row>
    <row r="28" spans="1:3" ht="16" x14ac:dyDescent="0.2">
      <c r="A28" s="2" t="s">
        <v>808</v>
      </c>
      <c r="B28" s="2" t="s">
        <v>5</v>
      </c>
      <c r="C28" s="2" t="s">
        <v>5</v>
      </c>
    </row>
    <row r="29" spans="1:3" ht="16" x14ac:dyDescent="0.2">
      <c r="A29" s="1" t="s">
        <v>788</v>
      </c>
      <c r="B29" s="2" t="s">
        <v>5</v>
      </c>
      <c r="C29" s="2" t="s">
        <v>5</v>
      </c>
    </row>
    <row r="30" spans="1:3" ht="16" x14ac:dyDescent="0.2">
      <c r="A30" s="2" t="s">
        <v>791</v>
      </c>
      <c r="B30" s="4">
        <v>-88</v>
      </c>
      <c r="C30" s="4">
        <v>-186</v>
      </c>
    </row>
    <row r="31" spans="1:3" ht="16" x14ac:dyDescent="0.2">
      <c r="A31" s="2" t="s">
        <v>797</v>
      </c>
      <c r="B31" s="4">
        <v>-34</v>
      </c>
      <c r="C31" s="4">
        <v>-35</v>
      </c>
    </row>
    <row r="32" spans="1:3" ht="16" x14ac:dyDescent="0.2">
      <c r="A32" s="2" t="s">
        <v>800</v>
      </c>
      <c r="B32" s="2" t="s">
        <v>111</v>
      </c>
      <c r="C32" s="4">
        <v>133</v>
      </c>
    </row>
    <row r="33" spans="1:3" ht="16" x14ac:dyDescent="0.2">
      <c r="A33" s="2" t="s">
        <v>805</v>
      </c>
      <c r="B33" s="5">
        <v>-122</v>
      </c>
      <c r="C33" s="5">
        <v>-88</v>
      </c>
    </row>
  </sheetData>
  <mergeCells count="2">
    <mergeCell ref="A1:A2"/>
    <mergeCell ref="B1:C1"/>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7"/>
  <sheetViews>
    <sheetView workbookViewId="0"/>
  </sheetViews>
  <sheetFormatPr baseColWidth="10" defaultColWidth="8.83203125" defaultRowHeight="15" x14ac:dyDescent="0.2"/>
  <cols>
    <col min="1" max="1" width="79" customWidth="1"/>
    <col min="2" max="3" width="14" customWidth="1"/>
  </cols>
  <sheetData>
    <row r="1" spans="1:3" ht="16" x14ac:dyDescent="0.2">
      <c r="A1" s="11" t="s">
        <v>809</v>
      </c>
      <c r="B1" s="12" t="s">
        <v>2</v>
      </c>
      <c r="C1" s="12" t="s">
        <v>75</v>
      </c>
    </row>
    <row r="2" spans="1:3" ht="16" x14ac:dyDescent="0.2">
      <c r="A2" s="1" t="s">
        <v>343</v>
      </c>
      <c r="B2" s="2" t="s">
        <v>5</v>
      </c>
      <c r="C2" s="2" t="s">
        <v>5</v>
      </c>
    </row>
    <row r="3" spans="1:3" ht="16" x14ac:dyDescent="0.2">
      <c r="A3" s="2" t="s">
        <v>810</v>
      </c>
      <c r="B3" s="5">
        <v>68683</v>
      </c>
      <c r="C3" s="5">
        <v>67702</v>
      </c>
    </row>
    <row r="4" spans="1:3" ht="16" x14ac:dyDescent="0.2">
      <c r="A4" s="2" t="s">
        <v>811</v>
      </c>
      <c r="B4" s="4">
        <v>686</v>
      </c>
      <c r="C4" s="4">
        <v>582</v>
      </c>
    </row>
    <row r="5" spans="1:3" ht="16" x14ac:dyDescent="0.2">
      <c r="A5" s="2" t="s">
        <v>812</v>
      </c>
      <c r="B5" s="4">
        <v>946</v>
      </c>
      <c r="C5" s="4">
        <v>794</v>
      </c>
    </row>
    <row r="6" spans="1:3" ht="16" x14ac:dyDescent="0.2">
      <c r="A6" s="2" t="s">
        <v>813</v>
      </c>
      <c r="B6" s="4">
        <v>9426</v>
      </c>
      <c r="C6" s="4">
        <v>9073</v>
      </c>
    </row>
    <row r="7" spans="1:3" ht="16" x14ac:dyDescent="0.2">
      <c r="A7" s="2" t="s">
        <v>300</v>
      </c>
      <c r="B7" s="5">
        <v>79741</v>
      </c>
      <c r="C7" s="5">
        <v>78151</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D25"/>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814</v>
      </c>
      <c r="B1" s="61" t="s">
        <v>1</v>
      </c>
      <c r="C1" s="60"/>
      <c r="D1" s="60"/>
    </row>
    <row r="2" spans="1:4" ht="16" x14ac:dyDescent="0.2">
      <c r="A2" s="60"/>
      <c r="B2" s="12" t="s">
        <v>2</v>
      </c>
      <c r="C2" s="12" t="s">
        <v>75</v>
      </c>
      <c r="D2" s="12" t="s">
        <v>76</v>
      </c>
    </row>
    <row r="3" spans="1:4" ht="16" x14ac:dyDescent="0.2">
      <c r="A3" s="2" t="s">
        <v>815</v>
      </c>
      <c r="B3" s="2" t="s">
        <v>5</v>
      </c>
      <c r="C3" s="2" t="s">
        <v>5</v>
      </c>
      <c r="D3" s="2" t="s">
        <v>5</v>
      </c>
    </row>
    <row r="4" spans="1:4" ht="16" x14ac:dyDescent="0.2">
      <c r="A4" s="1" t="s">
        <v>816</v>
      </c>
      <c r="B4" s="2" t="s">
        <v>5</v>
      </c>
      <c r="C4" s="2" t="s">
        <v>5</v>
      </c>
      <c r="D4" s="2" t="s">
        <v>5</v>
      </c>
    </row>
    <row r="5" spans="1:4" ht="16" x14ac:dyDescent="0.2">
      <c r="A5" s="2" t="s">
        <v>817</v>
      </c>
      <c r="B5" s="5">
        <v>4126</v>
      </c>
      <c r="C5" s="5">
        <v>3586</v>
      </c>
      <c r="D5" s="2" t="s">
        <v>5</v>
      </c>
    </row>
    <row r="6" spans="1:4" ht="16" x14ac:dyDescent="0.2">
      <c r="A6" s="2" t="s">
        <v>818</v>
      </c>
      <c r="B6" s="2" t="s">
        <v>5</v>
      </c>
      <c r="C6" s="2" t="s">
        <v>5</v>
      </c>
      <c r="D6" s="2" t="s">
        <v>5</v>
      </c>
    </row>
    <row r="7" spans="1:4" ht="16" x14ac:dyDescent="0.2">
      <c r="A7" s="1" t="s">
        <v>816</v>
      </c>
      <c r="B7" s="2" t="s">
        <v>5</v>
      </c>
      <c r="C7" s="2" t="s">
        <v>5</v>
      </c>
      <c r="D7" s="2" t="s">
        <v>5</v>
      </c>
    </row>
    <row r="8" spans="1:4" ht="16" x14ac:dyDescent="0.2">
      <c r="A8" s="2" t="s">
        <v>819</v>
      </c>
      <c r="B8" s="4">
        <v>6011</v>
      </c>
      <c r="C8" s="4">
        <v>2955</v>
      </c>
      <c r="D8" s="2" t="s">
        <v>5</v>
      </c>
    </row>
    <row r="9" spans="1:4" ht="16" x14ac:dyDescent="0.2">
      <c r="A9" s="2" t="s">
        <v>820</v>
      </c>
      <c r="B9" s="4">
        <v>792</v>
      </c>
      <c r="C9" s="4">
        <v>626</v>
      </c>
      <c r="D9" s="2" t="s">
        <v>5</v>
      </c>
    </row>
    <row r="10" spans="1:4" ht="32" x14ac:dyDescent="0.2">
      <c r="A10" s="2" t="s">
        <v>821</v>
      </c>
      <c r="B10" s="4">
        <v>6767</v>
      </c>
      <c r="C10" s="2" t="s">
        <v>5</v>
      </c>
      <c r="D10" s="2" t="s">
        <v>5</v>
      </c>
    </row>
    <row r="11" spans="1:4" ht="32" x14ac:dyDescent="0.2">
      <c r="A11" s="2" t="s">
        <v>822</v>
      </c>
      <c r="B11" s="4">
        <v>36</v>
      </c>
      <c r="C11" s="2" t="s">
        <v>5</v>
      </c>
      <c r="D11" s="2" t="s">
        <v>5</v>
      </c>
    </row>
    <row r="12" spans="1:4" ht="16" x14ac:dyDescent="0.2">
      <c r="A12" s="2" t="s">
        <v>823</v>
      </c>
      <c r="B12" s="2" t="s">
        <v>5</v>
      </c>
      <c r="C12" s="2" t="s">
        <v>5</v>
      </c>
      <c r="D12" s="2" t="s">
        <v>5</v>
      </c>
    </row>
    <row r="13" spans="1:4" ht="16" x14ac:dyDescent="0.2">
      <c r="A13" s="1" t="s">
        <v>816</v>
      </c>
      <c r="B13" s="2" t="s">
        <v>5</v>
      </c>
      <c r="C13" s="2" t="s">
        <v>5</v>
      </c>
      <c r="D13" s="2" t="s">
        <v>5</v>
      </c>
    </row>
    <row r="14" spans="1:4" ht="16" x14ac:dyDescent="0.2">
      <c r="A14" s="2" t="s">
        <v>819</v>
      </c>
      <c r="B14" s="4">
        <v>1792</v>
      </c>
      <c r="C14" s="4">
        <v>1330</v>
      </c>
      <c r="D14" s="2" t="s">
        <v>5</v>
      </c>
    </row>
    <row r="15" spans="1:4" ht="16" x14ac:dyDescent="0.2">
      <c r="A15" s="2" t="s">
        <v>820</v>
      </c>
      <c r="B15" s="4">
        <v>4063</v>
      </c>
      <c r="C15" s="4">
        <v>3774</v>
      </c>
      <c r="D15" s="2" t="s">
        <v>5</v>
      </c>
    </row>
    <row r="16" spans="1:4" ht="16" x14ac:dyDescent="0.2">
      <c r="A16" s="2" t="s">
        <v>824</v>
      </c>
      <c r="B16" s="4">
        <v>4638</v>
      </c>
      <c r="C16" s="4">
        <v>4059</v>
      </c>
      <c r="D16" s="2" t="s">
        <v>5</v>
      </c>
    </row>
    <row r="17" spans="1:4" ht="16" x14ac:dyDescent="0.2">
      <c r="A17" s="2" t="s">
        <v>825</v>
      </c>
      <c r="B17" s="4">
        <v>513</v>
      </c>
      <c r="C17" s="4">
        <v>325</v>
      </c>
      <c r="D17" s="2" t="s">
        <v>5</v>
      </c>
    </row>
    <row r="18" spans="1:4" ht="16" x14ac:dyDescent="0.2">
      <c r="A18" s="2" t="s">
        <v>826</v>
      </c>
      <c r="B18" s="2" t="s">
        <v>5</v>
      </c>
      <c r="C18" s="2" t="s">
        <v>5</v>
      </c>
      <c r="D18" s="2" t="s">
        <v>5</v>
      </c>
    </row>
    <row r="19" spans="1:4" ht="16" x14ac:dyDescent="0.2">
      <c r="A19" s="1" t="s">
        <v>816</v>
      </c>
      <c r="B19" s="2" t="s">
        <v>5</v>
      </c>
      <c r="C19" s="2" t="s">
        <v>5</v>
      </c>
      <c r="D19" s="2" t="s">
        <v>5</v>
      </c>
    </row>
    <row r="20" spans="1:4" ht="16" x14ac:dyDescent="0.2">
      <c r="A20" s="2" t="s">
        <v>819</v>
      </c>
      <c r="B20" s="4">
        <v>12384</v>
      </c>
      <c r="C20" s="4">
        <v>12689</v>
      </c>
      <c r="D20" s="2" t="s">
        <v>5</v>
      </c>
    </row>
    <row r="21" spans="1:4" ht="16" x14ac:dyDescent="0.2">
      <c r="A21" s="2" t="s">
        <v>820</v>
      </c>
      <c r="B21" s="4">
        <v>1480</v>
      </c>
      <c r="C21" s="4">
        <v>1722</v>
      </c>
      <c r="D21" s="2" t="s">
        <v>5</v>
      </c>
    </row>
    <row r="22" spans="1:4" ht="32" x14ac:dyDescent="0.2">
      <c r="A22" s="2" t="s">
        <v>821</v>
      </c>
      <c r="B22" s="4">
        <v>12384</v>
      </c>
      <c r="C22" s="2" t="s">
        <v>5</v>
      </c>
      <c r="D22" s="2" t="s">
        <v>5</v>
      </c>
    </row>
    <row r="23" spans="1:4" ht="32" x14ac:dyDescent="0.2">
      <c r="A23" s="2" t="s">
        <v>822</v>
      </c>
      <c r="B23" s="4">
        <v>1480</v>
      </c>
      <c r="C23" s="2" t="s">
        <v>5</v>
      </c>
      <c r="D23" s="2" t="s">
        <v>5</v>
      </c>
    </row>
    <row r="24" spans="1:4" ht="16" x14ac:dyDescent="0.2">
      <c r="A24" s="2" t="s">
        <v>825</v>
      </c>
      <c r="B24" s="4">
        <v>1014</v>
      </c>
      <c r="C24" s="4">
        <v>1240</v>
      </c>
      <c r="D24" s="5">
        <v>468</v>
      </c>
    </row>
    <row r="25" spans="1:4" ht="16" x14ac:dyDescent="0.2">
      <c r="A25" s="2" t="s">
        <v>827</v>
      </c>
      <c r="B25" s="5">
        <v>1764</v>
      </c>
      <c r="C25" s="5">
        <v>1831</v>
      </c>
      <c r="D25" s="2" t="s">
        <v>5</v>
      </c>
    </row>
  </sheetData>
  <mergeCells count="2">
    <mergeCell ref="A1:A2"/>
    <mergeCell ref="B1:D1"/>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9"/>
  <sheetViews>
    <sheetView workbookViewId="0"/>
  </sheetViews>
  <sheetFormatPr baseColWidth="10" defaultColWidth="8.83203125" defaultRowHeight="15" x14ac:dyDescent="0.2"/>
  <cols>
    <col min="1" max="1" width="71" customWidth="1"/>
    <col min="2" max="2" width="16" customWidth="1"/>
    <col min="3" max="3" width="14" customWidth="1"/>
  </cols>
  <sheetData>
    <row r="1" spans="1:3" x14ac:dyDescent="0.2">
      <c r="A1" s="59" t="s">
        <v>828</v>
      </c>
      <c r="B1" s="61" t="s">
        <v>1</v>
      </c>
      <c r="C1" s="60"/>
    </row>
    <row r="2" spans="1:3" ht="16" x14ac:dyDescent="0.2">
      <c r="A2" s="60"/>
      <c r="B2" s="12" t="s">
        <v>2</v>
      </c>
      <c r="C2" s="12" t="s">
        <v>75</v>
      </c>
    </row>
    <row r="3" spans="1:3" ht="16" x14ac:dyDescent="0.2">
      <c r="A3" s="1" t="s">
        <v>829</v>
      </c>
      <c r="B3" s="2" t="s">
        <v>5</v>
      </c>
      <c r="C3" s="2" t="s">
        <v>5</v>
      </c>
    </row>
    <row r="4" spans="1:3" ht="16" x14ac:dyDescent="0.2">
      <c r="A4" s="2" t="s">
        <v>151</v>
      </c>
      <c r="B4" s="5">
        <v>8317</v>
      </c>
      <c r="C4" s="5">
        <v>8634</v>
      </c>
    </row>
    <row r="5" spans="1:3" ht="16" x14ac:dyDescent="0.2">
      <c r="A5" s="2" t="s">
        <v>181</v>
      </c>
      <c r="B5" s="4">
        <v>56328</v>
      </c>
      <c r="C5" s="4">
        <v>53081</v>
      </c>
    </row>
    <row r="6" spans="1:3" ht="16" x14ac:dyDescent="0.2">
      <c r="A6" s="2" t="s">
        <v>830</v>
      </c>
      <c r="B6" s="4">
        <v>15298</v>
      </c>
      <c r="C6" s="4">
        <v>12087</v>
      </c>
    </row>
    <row r="7" spans="1:3" ht="16" x14ac:dyDescent="0.2">
      <c r="A7" s="2" t="s">
        <v>831</v>
      </c>
      <c r="B7" s="2" t="s">
        <v>5</v>
      </c>
      <c r="C7" s="2" t="s">
        <v>5</v>
      </c>
    </row>
    <row r="8" spans="1:3" ht="16" x14ac:dyDescent="0.2">
      <c r="A8" s="1" t="s">
        <v>829</v>
      </c>
      <c r="B8" s="2" t="s">
        <v>5</v>
      </c>
      <c r="C8" s="2" t="s">
        <v>5</v>
      </c>
    </row>
    <row r="9" spans="1:3" ht="16" x14ac:dyDescent="0.2">
      <c r="A9" s="2" t="s">
        <v>832</v>
      </c>
      <c r="B9" s="5">
        <v>42</v>
      </c>
      <c r="C9" s="5">
        <v>117</v>
      </c>
    </row>
  </sheetData>
  <mergeCells count="2">
    <mergeCell ref="A1:A2"/>
    <mergeCell ref="B1:C1"/>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D9"/>
  <sheetViews>
    <sheetView workbookViewId="0"/>
  </sheetViews>
  <sheetFormatPr baseColWidth="10" defaultColWidth="8.83203125" defaultRowHeight="15" x14ac:dyDescent="0.2"/>
  <cols>
    <col min="1" max="1" width="80" customWidth="1"/>
    <col min="2" max="4" width="14" customWidth="1"/>
  </cols>
  <sheetData>
    <row r="1" spans="1:4" ht="32" x14ac:dyDescent="0.2">
      <c r="A1" s="11" t="s">
        <v>833</v>
      </c>
      <c r="B1" s="12" t="s">
        <v>2</v>
      </c>
      <c r="C1" s="12" t="s">
        <v>75</v>
      </c>
      <c r="D1" s="12" t="s">
        <v>76</v>
      </c>
    </row>
    <row r="2" spans="1:4" ht="16" x14ac:dyDescent="0.2">
      <c r="A2" s="1" t="s">
        <v>346</v>
      </c>
      <c r="B2" s="2" t="s">
        <v>5</v>
      </c>
      <c r="C2" s="2" t="s">
        <v>5</v>
      </c>
      <c r="D2" s="2" t="s">
        <v>5</v>
      </c>
    </row>
    <row r="3" spans="1:4" ht="16" x14ac:dyDescent="0.2">
      <c r="A3" s="2" t="s">
        <v>834</v>
      </c>
      <c r="B3" s="5">
        <v>6565</v>
      </c>
      <c r="C3" s="5">
        <v>6478</v>
      </c>
      <c r="D3" s="2" t="s">
        <v>5</v>
      </c>
    </row>
    <row r="4" spans="1:4" ht="16" x14ac:dyDescent="0.2">
      <c r="A4" s="2" t="s">
        <v>835</v>
      </c>
      <c r="B4" s="4">
        <v>1771</v>
      </c>
      <c r="C4" s="4">
        <v>2179</v>
      </c>
      <c r="D4" s="2" t="s">
        <v>5</v>
      </c>
    </row>
    <row r="5" spans="1:4" ht="16" x14ac:dyDescent="0.2">
      <c r="A5" s="2" t="s">
        <v>836</v>
      </c>
      <c r="B5" s="4">
        <v>-19</v>
      </c>
      <c r="C5" s="4">
        <v>-23</v>
      </c>
      <c r="D5" s="5">
        <v>-91</v>
      </c>
    </row>
    <row r="6" spans="1:4" ht="16" x14ac:dyDescent="0.2">
      <c r="A6" s="2" t="s">
        <v>837</v>
      </c>
      <c r="B6" s="4">
        <v>8317</v>
      </c>
      <c r="C6" s="4">
        <v>8634</v>
      </c>
      <c r="D6" s="2" t="s">
        <v>5</v>
      </c>
    </row>
    <row r="7" spans="1:4" ht="16" x14ac:dyDescent="0.2">
      <c r="A7" s="2" t="s">
        <v>838</v>
      </c>
      <c r="B7" s="4">
        <v>6</v>
      </c>
      <c r="C7" s="2" t="s">
        <v>5</v>
      </c>
      <c r="D7" s="2" t="s">
        <v>5</v>
      </c>
    </row>
    <row r="8" spans="1:4" ht="16" x14ac:dyDescent="0.2">
      <c r="A8" s="2" t="s">
        <v>839</v>
      </c>
      <c r="B8" s="4">
        <v>40</v>
      </c>
      <c r="C8" s="4">
        <v>16</v>
      </c>
      <c r="D8" s="2" t="s">
        <v>5</v>
      </c>
    </row>
    <row r="9" spans="1:4" ht="16" x14ac:dyDescent="0.2">
      <c r="A9" s="2" t="s">
        <v>840</v>
      </c>
      <c r="B9" s="5">
        <v>46</v>
      </c>
      <c r="C9" s="5">
        <v>16</v>
      </c>
      <c r="D9" s="2" t="s">
        <v>5</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10"/>
  <sheetViews>
    <sheetView workbookViewId="0"/>
  </sheetViews>
  <sheetFormatPr baseColWidth="10" defaultColWidth="8.83203125" defaultRowHeight="15" x14ac:dyDescent="0.2"/>
  <cols>
    <col min="1" max="1" width="80" customWidth="1"/>
    <col min="2" max="4" width="14" customWidth="1"/>
  </cols>
  <sheetData>
    <row r="1" spans="1:4" ht="32" x14ac:dyDescent="0.2">
      <c r="A1" s="11" t="s">
        <v>841</v>
      </c>
      <c r="B1" s="12" t="s">
        <v>2</v>
      </c>
      <c r="C1" s="12" t="s">
        <v>75</v>
      </c>
      <c r="D1" s="12" t="s">
        <v>76</v>
      </c>
    </row>
    <row r="2" spans="1:4" ht="16" x14ac:dyDescent="0.2">
      <c r="A2" s="1" t="s">
        <v>349</v>
      </c>
      <c r="B2" s="2" t="s">
        <v>5</v>
      </c>
      <c r="C2" s="2" t="s">
        <v>5</v>
      </c>
      <c r="D2" s="2" t="s">
        <v>5</v>
      </c>
    </row>
    <row r="3" spans="1:4" ht="16" x14ac:dyDescent="0.2">
      <c r="A3" s="2" t="s">
        <v>842</v>
      </c>
      <c r="B3" s="5">
        <v>556</v>
      </c>
      <c r="C3" s="5">
        <v>804</v>
      </c>
      <c r="D3" s="2" t="s">
        <v>5</v>
      </c>
    </row>
    <row r="4" spans="1:4" ht="16" x14ac:dyDescent="0.2">
      <c r="A4" s="2" t="s">
        <v>843</v>
      </c>
      <c r="B4" s="4">
        <v>102</v>
      </c>
      <c r="C4" s="4">
        <v>385</v>
      </c>
      <c r="D4" s="2" t="s">
        <v>5</v>
      </c>
    </row>
    <row r="5" spans="1:4" ht="16" x14ac:dyDescent="0.2">
      <c r="A5" s="2" t="s">
        <v>844</v>
      </c>
      <c r="B5" s="4">
        <v>658</v>
      </c>
      <c r="C5" s="4">
        <v>1189</v>
      </c>
      <c r="D5" s="2" t="s">
        <v>5</v>
      </c>
    </row>
    <row r="6" spans="1:4" ht="16" x14ac:dyDescent="0.2">
      <c r="A6" s="2" t="s">
        <v>845</v>
      </c>
      <c r="B6" s="4">
        <v>51</v>
      </c>
      <c r="C6" s="4">
        <v>55</v>
      </c>
      <c r="D6" s="5">
        <v>18</v>
      </c>
    </row>
    <row r="7" spans="1:4" ht="16" x14ac:dyDescent="0.2">
      <c r="A7" s="2" t="s">
        <v>846</v>
      </c>
      <c r="B7" s="4">
        <v>607</v>
      </c>
      <c r="C7" s="4">
        <v>1134</v>
      </c>
      <c r="D7" s="2" t="s">
        <v>5</v>
      </c>
    </row>
    <row r="8" spans="1:4" ht="16" x14ac:dyDescent="0.2">
      <c r="A8" s="2" t="s">
        <v>847</v>
      </c>
      <c r="B8" s="4">
        <v>352</v>
      </c>
      <c r="C8" s="4">
        <v>470</v>
      </c>
      <c r="D8" s="2" t="s">
        <v>5</v>
      </c>
    </row>
    <row r="9" spans="1:4" ht="16" x14ac:dyDescent="0.2">
      <c r="A9" s="2" t="s">
        <v>300</v>
      </c>
      <c r="B9" s="4">
        <v>959</v>
      </c>
      <c r="C9" s="4">
        <v>1604</v>
      </c>
      <c r="D9" s="2" t="s">
        <v>5</v>
      </c>
    </row>
    <row r="10" spans="1:4" ht="16" x14ac:dyDescent="0.2">
      <c r="A10" s="2" t="s">
        <v>848</v>
      </c>
      <c r="B10" s="5">
        <v>70</v>
      </c>
      <c r="C10" s="5">
        <v>76</v>
      </c>
      <c r="D10" s="2" t="s">
        <v>5</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D33"/>
  <sheetViews>
    <sheetView workbookViewId="0"/>
  </sheetViews>
  <sheetFormatPr baseColWidth="10" defaultColWidth="8.83203125" defaultRowHeight="15" x14ac:dyDescent="0.2"/>
  <cols>
    <col min="1" max="1" width="80" customWidth="1"/>
    <col min="2" max="2" width="16" customWidth="1"/>
    <col min="3" max="4" width="15" customWidth="1"/>
  </cols>
  <sheetData>
    <row r="1" spans="1:4" x14ac:dyDescent="0.2">
      <c r="A1" s="59" t="s">
        <v>849</v>
      </c>
      <c r="B1" s="61" t="s">
        <v>1</v>
      </c>
      <c r="C1" s="60"/>
      <c r="D1" s="60"/>
    </row>
    <row r="2" spans="1:4" ht="16" x14ac:dyDescent="0.2">
      <c r="A2" s="60"/>
      <c r="B2" s="12" t="s">
        <v>2</v>
      </c>
      <c r="C2" s="12" t="s">
        <v>75</v>
      </c>
      <c r="D2" s="12" t="s">
        <v>76</v>
      </c>
    </row>
    <row r="3" spans="1:4" ht="16" x14ac:dyDescent="0.2">
      <c r="A3" s="1" t="s">
        <v>850</v>
      </c>
      <c r="B3" s="2" t="s">
        <v>5</v>
      </c>
      <c r="C3" s="2" t="s">
        <v>5</v>
      </c>
      <c r="D3" s="2" t="s">
        <v>5</v>
      </c>
    </row>
    <row r="4" spans="1:4" ht="16" x14ac:dyDescent="0.2">
      <c r="A4" s="2" t="s">
        <v>851</v>
      </c>
      <c r="B4" s="5">
        <v>44</v>
      </c>
      <c r="C4" s="5">
        <v>405</v>
      </c>
      <c r="D4" s="2" t="s">
        <v>5</v>
      </c>
    </row>
    <row r="5" spans="1:4" ht="16" x14ac:dyDescent="0.2">
      <c r="A5" s="2" t="s">
        <v>852</v>
      </c>
      <c r="B5" s="4">
        <v>108</v>
      </c>
      <c r="C5" s="4">
        <v>13</v>
      </c>
      <c r="D5" s="2" t="s">
        <v>5</v>
      </c>
    </row>
    <row r="6" spans="1:4" ht="16" x14ac:dyDescent="0.2">
      <c r="A6" s="2" t="s">
        <v>853</v>
      </c>
      <c r="B6" s="4">
        <v>9</v>
      </c>
      <c r="C6" s="2" t="s">
        <v>5</v>
      </c>
      <c r="D6" s="2" t="s">
        <v>5</v>
      </c>
    </row>
    <row r="7" spans="1:4" ht="16" x14ac:dyDescent="0.2">
      <c r="A7" s="2" t="s">
        <v>207</v>
      </c>
      <c r="B7" s="4">
        <v>46</v>
      </c>
      <c r="C7" s="4">
        <v>112</v>
      </c>
      <c r="D7" s="5">
        <v>98</v>
      </c>
    </row>
    <row r="8" spans="1:4" ht="16" x14ac:dyDescent="0.2">
      <c r="A8" s="2" t="s">
        <v>854</v>
      </c>
      <c r="B8" s="4">
        <v>55</v>
      </c>
      <c r="C8" s="4">
        <v>69</v>
      </c>
      <c r="D8" s="4">
        <v>54</v>
      </c>
    </row>
    <row r="9" spans="1:4" ht="16" x14ac:dyDescent="0.2">
      <c r="A9" s="2" t="s">
        <v>855</v>
      </c>
      <c r="B9" s="5">
        <v>60</v>
      </c>
      <c r="C9" s="5">
        <v>65</v>
      </c>
      <c r="D9" s="5">
        <v>68</v>
      </c>
    </row>
    <row r="10" spans="1:4" ht="32" x14ac:dyDescent="0.2">
      <c r="A10" s="2" t="s">
        <v>856</v>
      </c>
      <c r="B10" s="2" t="s">
        <v>77</v>
      </c>
      <c r="C10" s="2" t="s">
        <v>77</v>
      </c>
      <c r="D10" s="2" t="s">
        <v>77</v>
      </c>
    </row>
    <row r="11" spans="1:4" ht="16" x14ac:dyDescent="0.2">
      <c r="A11" s="2" t="s">
        <v>857</v>
      </c>
      <c r="B11" s="5">
        <v>32</v>
      </c>
      <c r="C11" s="5">
        <v>28</v>
      </c>
      <c r="D11" s="5">
        <v>78</v>
      </c>
    </row>
    <row r="12" spans="1:4" ht="16" x14ac:dyDescent="0.2">
      <c r="A12" s="2" t="s">
        <v>858</v>
      </c>
      <c r="B12" s="4">
        <v>21</v>
      </c>
      <c r="C12" s="4">
        <v>86</v>
      </c>
      <c r="D12" s="2" t="s">
        <v>5</v>
      </c>
    </row>
    <row r="13" spans="1:4" ht="16" x14ac:dyDescent="0.2">
      <c r="A13" s="2" t="s">
        <v>859</v>
      </c>
      <c r="B13" s="2" t="s">
        <v>5</v>
      </c>
      <c r="C13" s="2" t="s">
        <v>5</v>
      </c>
      <c r="D13" s="2" t="s">
        <v>5</v>
      </c>
    </row>
    <row r="14" spans="1:4" ht="16" x14ac:dyDescent="0.2">
      <c r="A14" s="1" t="s">
        <v>850</v>
      </c>
      <c r="B14" s="2" t="s">
        <v>5</v>
      </c>
      <c r="C14" s="2" t="s">
        <v>5</v>
      </c>
      <c r="D14" s="2" t="s">
        <v>5</v>
      </c>
    </row>
    <row r="15" spans="1:4" ht="16" x14ac:dyDescent="0.2">
      <c r="A15" s="2" t="s">
        <v>207</v>
      </c>
      <c r="B15" s="5">
        <v>0</v>
      </c>
      <c r="C15" s="5">
        <v>7</v>
      </c>
      <c r="D15" s="5">
        <v>31</v>
      </c>
    </row>
    <row r="16" spans="1:4" ht="16" x14ac:dyDescent="0.2">
      <c r="A16" s="2" t="s">
        <v>860</v>
      </c>
      <c r="B16" s="2" t="s">
        <v>5</v>
      </c>
      <c r="C16" s="2" t="s">
        <v>5</v>
      </c>
      <c r="D16" s="2" t="s">
        <v>5</v>
      </c>
    </row>
    <row r="17" spans="1:4" ht="16" x14ac:dyDescent="0.2">
      <c r="A17" s="1" t="s">
        <v>850</v>
      </c>
      <c r="B17" s="2" t="s">
        <v>5</v>
      </c>
      <c r="C17" s="2" t="s">
        <v>5</v>
      </c>
      <c r="D17" s="2" t="s">
        <v>5</v>
      </c>
    </row>
    <row r="18" spans="1:4" ht="16" x14ac:dyDescent="0.2">
      <c r="A18" s="2" t="s">
        <v>861</v>
      </c>
      <c r="B18" s="8">
        <v>1</v>
      </c>
      <c r="C18" s="2" t="s">
        <v>5</v>
      </c>
      <c r="D18" s="2" t="s">
        <v>5</v>
      </c>
    </row>
    <row r="19" spans="1:4" ht="16" x14ac:dyDescent="0.2">
      <c r="A19" s="2" t="s">
        <v>862</v>
      </c>
      <c r="B19" s="2" t="s">
        <v>5</v>
      </c>
      <c r="C19" s="2" t="s">
        <v>5</v>
      </c>
      <c r="D19" s="2" t="s">
        <v>5</v>
      </c>
    </row>
    <row r="20" spans="1:4" ht="16" x14ac:dyDescent="0.2">
      <c r="A20" s="1" t="s">
        <v>850</v>
      </c>
      <c r="B20" s="2" t="s">
        <v>5</v>
      </c>
      <c r="C20" s="2" t="s">
        <v>5</v>
      </c>
      <c r="D20" s="2" t="s">
        <v>5</v>
      </c>
    </row>
    <row r="21" spans="1:4" ht="16" x14ac:dyDescent="0.2">
      <c r="A21" s="2" t="s">
        <v>861</v>
      </c>
      <c r="B21" s="8">
        <v>0</v>
      </c>
      <c r="C21" s="2" t="s">
        <v>5</v>
      </c>
      <c r="D21" s="2" t="s">
        <v>5</v>
      </c>
    </row>
    <row r="22" spans="1:4" ht="16" x14ac:dyDescent="0.2">
      <c r="A22" s="2" t="s">
        <v>863</v>
      </c>
      <c r="B22" s="2" t="s">
        <v>5</v>
      </c>
      <c r="C22" s="2" t="s">
        <v>5</v>
      </c>
      <c r="D22" s="2" t="s">
        <v>5</v>
      </c>
    </row>
    <row r="23" spans="1:4" ht="16" x14ac:dyDescent="0.2">
      <c r="A23" s="1" t="s">
        <v>850</v>
      </c>
      <c r="B23" s="2" t="s">
        <v>5</v>
      </c>
      <c r="C23" s="2" t="s">
        <v>5</v>
      </c>
      <c r="D23" s="2" t="s">
        <v>5</v>
      </c>
    </row>
    <row r="24" spans="1:4" ht="16" x14ac:dyDescent="0.2">
      <c r="A24" s="2" t="s">
        <v>861</v>
      </c>
      <c r="B24" s="9">
        <v>2.4E-2</v>
      </c>
      <c r="C24" s="2" t="s">
        <v>5</v>
      </c>
      <c r="D24" s="2" t="s">
        <v>5</v>
      </c>
    </row>
    <row r="25" spans="1:4" ht="16" x14ac:dyDescent="0.2">
      <c r="A25" s="2" t="s">
        <v>864</v>
      </c>
      <c r="B25" s="2" t="s">
        <v>5</v>
      </c>
      <c r="C25" s="2" t="s">
        <v>5</v>
      </c>
      <c r="D25" s="2" t="s">
        <v>5</v>
      </c>
    </row>
    <row r="26" spans="1:4" ht="16" x14ac:dyDescent="0.2">
      <c r="A26" s="1" t="s">
        <v>850</v>
      </c>
      <c r="B26" s="2" t="s">
        <v>5</v>
      </c>
      <c r="C26" s="2" t="s">
        <v>5</v>
      </c>
      <c r="D26" s="2" t="s">
        <v>5</v>
      </c>
    </row>
    <row r="27" spans="1:4" ht="16" x14ac:dyDescent="0.2">
      <c r="A27" s="2" t="s">
        <v>861</v>
      </c>
      <c r="B27" s="9">
        <v>1E-3</v>
      </c>
      <c r="C27" s="2" t="s">
        <v>5</v>
      </c>
      <c r="D27" s="2" t="s">
        <v>5</v>
      </c>
    </row>
    <row r="28" spans="1:4" ht="16" x14ac:dyDescent="0.2">
      <c r="A28" s="2" t="s">
        <v>865</v>
      </c>
      <c r="B28" s="2" t="s">
        <v>5</v>
      </c>
      <c r="C28" s="2" t="s">
        <v>5</v>
      </c>
      <c r="D28" s="2" t="s">
        <v>5</v>
      </c>
    </row>
    <row r="29" spans="1:4" ht="16" x14ac:dyDescent="0.2">
      <c r="A29" s="1" t="s">
        <v>850</v>
      </c>
      <c r="B29" s="2" t="s">
        <v>5</v>
      </c>
      <c r="C29" s="2" t="s">
        <v>5</v>
      </c>
      <c r="D29" s="2" t="s">
        <v>5</v>
      </c>
    </row>
    <row r="30" spans="1:4" ht="16" x14ac:dyDescent="0.2">
      <c r="A30" s="2" t="s">
        <v>866</v>
      </c>
      <c r="B30" s="2" t="s">
        <v>632</v>
      </c>
      <c r="C30" s="2" t="s">
        <v>5</v>
      </c>
      <c r="D30" s="2" t="s">
        <v>5</v>
      </c>
    </row>
    <row r="31" spans="1:4" ht="16" x14ac:dyDescent="0.2">
      <c r="A31" s="2" t="s">
        <v>867</v>
      </c>
      <c r="B31" s="2" t="s">
        <v>5</v>
      </c>
      <c r="C31" s="2" t="s">
        <v>5</v>
      </c>
      <c r="D31" s="2" t="s">
        <v>5</v>
      </c>
    </row>
    <row r="32" spans="1:4" ht="16" x14ac:dyDescent="0.2">
      <c r="A32" s="1" t="s">
        <v>850</v>
      </c>
      <c r="B32" s="2" t="s">
        <v>5</v>
      </c>
      <c r="C32" s="2" t="s">
        <v>5</v>
      </c>
      <c r="D32" s="2" t="s">
        <v>5</v>
      </c>
    </row>
    <row r="33" spans="1:4" ht="16" x14ac:dyDescent="0.2">
      <c r="A33" s="2" t="s">
        <v>866</v>
      </c>
      <c r="B33" s="2" t="s">
        <v>868</v>
      </c>
      <c r="C33" s="2" t="s">
        <v>5</v>
      </c>
      <c r="D33" s="2" t="s">
        <v>5</v>
      </c>
    </row>
  </sheetData>
  <mergeCells count="2">
    <mergeCell ref="A1:A2"/>
    <mergeCell ref="B1:D1"/>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7"/>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869</v>
      </c>
      <c r="B1" s="12" t="s">
        <v>2</v>
      </c>
      <c r="C1" s="12" t="s">
        <v>75</v>
      </c>
    </row>
    <row r="2" spans="1:3" ht="16" x14ac:dyDescent="0.2">
      <c r="A2" s="1" t="s">
        <v>349</v>
      </c>
      <c r="B2" s="2" t="s">
        <v>5</v>
      </c>
      <c r="C2" s="2" t="s">
        <v>5</v>
      </c>
    </row>
    <row r="3" spans="1:3" ht="16" x14ac:dyDescent="0.2">
      <c r="A3" s="2" t="s">
        <v>870</v>
      </c>
      <c r="B3" s="5">
        <v>697</v>
      </c>
      <c r="C3" s="5">
        <v>924</v>
      </c>
    </row>
    <row r="4" spans="1:3" ht="16" x14ac:dyDescent="0.2">
      <c r="A4" s="2" t="s">
        <v>871</v>
      </c>
      <c r="B4" s="4">
        <v>-162</v>
      </c>
      <c r="C4" s="4">
        <v>-206</v>
      </c>
    </row>
    <row r="5" spans="1:3" ht="16" x14ac:dyDescent="0.2">
      <c r="A5" s="2" t="s">
        <v>872</v>
      </c>
      <c r="B5" s="4">
        <v>535</v>
      </c>
      <c r="C5" s="4">
        <v>718</v>
      </c>
    </row>
    <row r="6" spans="1:3" ht="16" x14ac:dyDescent="0.2">
      <c r="A6" s="2" t="s">
        <v>858</v>
      </c>
      <c r="B6" s="4">
        <v>21</v>
      </c>
      <c r="C6" s="4">
        <v>86</v>
      </c>
    </row>
    <row r="7" spans="1:3" ht="16" x14ac:dyDescent="0.2">
      <c r="A7" s="2" t="s">
        <v>842</v>
      </c>
      <c r="B7" s="5">
        <v>556</v>
      </c>
      <c r="C7" s="5">
        <v>804</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45"/>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873</v>
      </c>
      <c r="B1" s="12" t="s">
        <v>2</v>
      </c>
      <c r="C1" s="12" t="s">
        <v>75</v>
      </c>
    </row>
    <row r="2" spans="1:3" ht="16" x14ac:dyDescent="0.2">
      <c r="A2" s="1" t="s">
        <v>874</v>
      </c>
      <c r="B2" s="2" t="s">
        <v>5</v>
      </c>
      <c r="C2" s="2" t="s">
        <v>5</v>
      </c>
    </row>
    <row r="3" spans="1:3" ht="16" x14ac:dyDescent="0.2">
      <c r="A3" s="2" t="s">
        <v>875</v>
      </c>
      <c r="B3" s="5">
        <v>73</v>
      </c>
      <c r="C3" s="2" t="s">
        <v>5</v>
      </c>
    </row>
    <row r="4" spans="1:3" ht="16" x14ac:dyDescent="0.2">
      <c r="A4" s="2" t="s">
        <v>876</v>
      </c>
      <c r="B4" s="4">
        <v>32</v>
      </c>
      <c r="C4" s="2" t="s">
        <v>5</v>
      </c>
    </row>
    <row r="5" spans="1:3" ht="16" x14ac:dyDescent="0.2">
      <c r="A5" s="2" t="s">
        <v>877</v>
      </c>
      <c r="B5" s="4">
        <v>233</v>
      </c>
      <c r="C5" s="2" t="s">
        <v>5</v>
      </c>
    </row>
    <row r="6" spans="1:3" ht="16" x14ac:dyDescent="0.2">
      <c r="A6" s="2" t="s">
        <v>878</v>
      </c>
      <c r="B6" s="4">
        <v>103</v>
      </c>
      <c r="C6" s="2" t="s">
        <v>5</v>
      </c>
    </row>
    <row r="7" spans="1:3" ht="16" x14ac:dyDescent="0.2">
      <c r="A7" s="2" t="s">
        <v>879</v>
      </c>
      <c r="B7" s="4">
        <v>48</v>
      </c>
      <c r="C7" s="2" t="s">
        <v>5</v>
      </c>
    </row>
    <row r="8" spans="1:3" ht="16" x14ac:dyDescent="0.2">
      <c r="A8" s="2" t="s">
        <v>880</v>
      </c>
      <c r="B8" s="4">
        <v>169</v>
      </c>
      <c r="C8" s="2" t="s">
        <v>5</v>
      </c>
    </row>
    <row r="9" spans="1:3" ht="16" x14ac:dyDescent="0.2">
      <c r="A9" s="2" t="s">
        <v>844</v>
      </c>
      <c r="B9" s="4">
        <v>658</v>
      </c>
      <c r="C9" s="5">
        <v>1189</v>
      </c>
    </row>
    <row r="10" spans="1:3" ht="16" x14ac:dyDescent="0.2">
      <c r="A10" s="2" t="s">
        <v>864</v>
      </c>
      <c r="B10" s="2" t="s">
        <v>5</v>
      </c>
      <c r="C10" s="2" t="s">
        <v>5</v>
      </c>
    </row>
    <row r="11" spans="1:3" ht="16" x14ac:dyDescent="0.2">
      <c r="A11" s="1" t="s">
        <v>874</v>
      </c>
      <c r="B11" s="2" t="s">
        <v>5</v>
      </c>
      <c r="C11" s="2" t="s">
        <v>5</v>
      </c>
    </row>
    <row r="12" spans="1:3" ht="16" x14ac:dyDescent="0.2">
      <c r="A12" s="2" t="s">
        <v>875</v>
      </c>
      <c r="B12" s="2" t="s">
        <v>111</v>
      </c>
      <c r="C12" s="2" t="s">
        <v>5</v>
      </c>
    </row>
    <row r="13" spans="1:3" ht="16" x14ac:dyDescent="0.2">
      <c r="A13" s="2" t="s">
        <v>876</v>
      </c>
      <c r="B13" s="2" t="s">
        <v>111</v>
      </c>
      <c r="C13" s="2" t="s">
        <v>5</v>
      </c>
    </row>
    <row r="14" spans="1:3" ht="16" x14ac:dyDescent="0.2">
      <c r="A14" s="2" t="s">
        <v>877</v>
      </c>
      <c r="B14" s="2" t="s">
        <v>111</v>
      </c>
      <c r="C14" s="2" t="s">
        <v>5</v>
      </c>
    </row>
    <row r="15" spans="1:3" ht="16" x14ac:dyDescent="0.2">
      <c r="A15" s="2" t="s">
        <v>878</v>
      </c>
      <c r="B15" s="2" t="s">
        <v>111</v>
      </c>
      <c r="C15" s="2" t="s">
        <v>5</v>
      </c>
    </row>
    <row r="16" spans="1:3" ht="16" x14ac:dyDescent="0.2">
      <c r="A16" s="2" t="s">
        <v>879</v>
      </c>
      <c r="B16" s="2" t="s">
        <v>111</v>
      </c>
      <c r="C16" s="2" t="s">
        <v>5</v>
      </c>
    </row>
    <row r="17" spans="1:3" ht="16" x14ac:dyDescent="0.2">
      <c r="A17" s="2" t="s">
        <v>880</v>
      </c>
      <c r="B17" s="4">
        <v>13</v>
      </c>
      <c r="C17" s="2" t="s">
        <v>5</v>
      </c>
    </row>
    <row r="18" spans="1:3" ht="16" x14ac:dyDescent="0.2">
      <c r="A18" s="2" t="s">
        <v>844</v>
      </c>
      <c r="B18" s="4">
        <v>13</v>
      </c>
      <c r="C18" s="2" t="s">
        <v>5</v>
      </c>
    </row>
    <row r="19" spans="1:3" ht="16" x14ac:dyDescent="0.2">
      <c r="A19" s="2" t="s">
        <v>863</v>
      </c>
      <c r="B19" s="2" t="s">
        <v>5</v>
      </c>
      <c r="C19" s="2" t="s">
        <v>5</v>
      </c>
    </row>
    <row r="20" spans="1:3" ht="16" x14ac:dyDescent="0.2">
      <c r="A20" s="1" t="s">
        <v>874</v>
      </c>
      <c r="B20" s="2" t="s">
        <v>5</v>
      </c>
      <c r="C20" s="2" t="s">
        <v>5</v>
      </c>
    </row>
    <row r="21" spans="1:3" ht="16" x14ac:dyDescent="0.2">
      <c r="A21" s="2" t="s">
        <v>875</v>
      </c>
      <c r="B21" s="4">
        <v>73</v>
      </c>
      <c r="C21" s="2" t="s">
        <v>5</v>
      </c>
    </row>
    <row r="22" spans="1:3" ht="16" x14ac:dyDescent="0.2">
      <c r="A22" s="2" t="s">
        <v>876</v>
      </c>
      <c r="B22" s="4">
        <v>32</v>
      </c>
      <c r="C22" s="2" t="s">
        <v>5</v>
      </c>
    </row>
    <row r="23" spans="1:3" ht="16" x14ac:dyDescent="0.2">
      <c r="A23" s="2" t="s">
        <v>877</v>
      </c>
      <c r="B23" s="4">
        <v>198</v>
      </c>
      <c r="C23" s="2" t="s">
        <v>5</v>
      </c>
    </row>
    <row r="24" spans="1:3" ht="16" x14ac:dyDescent="0.2">
      <c r="A24" s="2" t="s">
        <v>878</v>
      </c>
      <c r="B24" s="4">
        <v>103</v>
      </c>
      <c r="C24" s="2" t="s">
        <v>5</v>
      </c>
    </row>
    <row r="25" spans="1:3" ht="16" x14ac:dyDescent="0.2">
      <c r="A25" s="2" t="s">
        <v>879</v>
      </c>
      <c r="B25" s="4">
        <v>36</v>
      </c>
      <c r="C25" s="2" t="s">
        <v>5</v>
      </c>
    </row>
    <row r="26" spans="1:3" ht="16" x14ac:dyDescent="0.2">
      <c r="A26" s="2" t="s">
        <v>880</v>
      </c>
      <c r="B26" s="4">
        <v>53</v>
      </c>
      <c r="C26" s="2" t="s">
        <v>5</v>
      </c>
    </row>
    <row r="27" spans="1:3" ht="16" x14ac:dyDescent="0.2">
      <c r="A27" s="2" t="s">
        <v>844</v>
      </c>
      <c r="B27" s="4">
        <v>495</v>
      </c>
      <c r="C27" s="2" t="s">
        <v>5</v>
      </c>
    </row>
    <row r="28" spans="1:3" ht="16" x14ac:dyDescent="0.2">
      <c r="A28" s="2" t="s">
        <v>862</v>
      </c>
      <c r="B28" s="2" t="s">
        <v>5</v>
      </c>
      <c r="C28" s="2" t="s">
        <v>5</v>
      </c>
    </row>
    <row r="29" spans="1:3" ht="16" x14ac:dyDescent="0.2">
      <c r="A29" s="1" t="s">
        <v>874</v>
      </c>
      <c r="B29" s="2" t="s">
        <v>5</v>
      </c>
      <c r="C29" s="2" t="s">
        <v>5</v>
      </c>
    </row>
    <row r="30" spans="1:3" ht="16" x14ac:dyDescent="0.2">
      <c r="A30" s="2" t="s">
        <v>875</v>
      </c>
      <c r="B30" s="2" t="s">
        <v>111</v>
      </c>
      <c r="C30" s="2" t="s">
        <v>5</v>
      </c>
    </row>
    <row r="31" spans="1:3" ht="16" x14ac:dyDescent="0.2">
      <c r="A31" s="2" t="s">
        <v>876</v>
      </c>
      <c r="B31" s="2" t="s">
        <v>111</v>
      </c>
      <c r="C31" s="2" t="s">
        <v>5</v>
      </c>
    </row>
    <row r="32" spans="1:3" ht="16" x14ac:dyDescent="0.2">
      <c r="A32" s="2" t="s">
        <v>877</v>
      </c>
      <c r="B32" s="2" t="s">
        <v>111</v>
      </c>
      <c r="C32" s="2" t="s">
        <v>5</v>
      </c>
    </row>
    <row r="33" spans="1:3" ht="16" x14ac:dyDescent="0.2">
      <c r="A33" s="2" t="s">
        <v>878</v>
      </c>
      <c r="B33" s="2" t="s">
        <v>111</v>
      </c>
      <c r="C33" s="2" t="s">
        <v>5</v>
      </c>
    </row>
    <row r="34" spans="1:3" ht="16" x14ac:dyDescent="0.2">
      <c r="A34" s="2" t="s">
        <v>879</v>
      </c>
      <c r="B34" s="4">
        <v>12</v>
      </c>
      <c r="C34" s="2" t="s">
        <v>5</v>
      </c>
    </row>
    <row r="35" spans="1:3" ht="16" x14ac:dyDescent="0.2">
      <c r="A35" s="2" t="s">
        <v>880</v>
      </c>
      <c r="B35" s="4">
        <v>94</v>
      </c>
      <c r="C35" s="2" t="s">
        <v>5</v>
      </c>
    </row>
    <row r="36" spans="1:3" ht="16" x14ac:dyDescent="0.2">
      <c r="A36" s="2" t="s">
        <v>844</v>
      </c>
      <c r="B36" s="4">
        <v>106</v>
      </c>
      <c r="C36" s="2" t="s">
        <v>5</v>
      </c>
    </row>
    <row r="37" spans="1:3" ht="16" x14ac:dyDescent="0.2">
      <c r="A37" s="2" t="s">
        <v>860</v>
      </c>
      <c r="B37" s="2" t="s">
        <v>5</v>
      </c>
      <c r="C37" s="2" t="s">
        <v>5</v>
      </c>
    </row>
    <row r="38" spans="1:3" ht="16" x14ac:dyDescent="0.2">
      <c r="A38" s="1" t="s">
        <v>874</v>
      </c>
      <c r="B38" s="2" t="s">
        <v>5</v>
      </c>
      <c r="C38" s="2" t="s">
        <v>5</v>
      </c>
    </row>
    <row r="39" spans="1:3" ht="16" x14ac:dyDescent="0.2">
      <c r="A39" s="2" t="s">
        <v>875</v>
      </c>
      <c r="B39" s="2" t="s">
        <v>111</v>
      </c>
      <c r="C39" s="2" t="s">
        <v>5</v>
      </c>
    </row>
    <row r="40" spans="1:3" ht="16" x14ac:dyDescent="0.2">
      <c r="A40" s="2" t="s">
        <v>876</v>
      </c>
      <c r="B40" s="2" t="s">
        <v>111</v>
      </c>
      <c r="C40" s="2" t="s">
        <v>5</v>
      </c>
    </row>
    <row r="41" spans="1:3" ht="16" x14ac:dyDescent="0.2">
      <c r="A41" s="2" t="s">
        <v>877</v>
      </c>
      <c r="B41" s="4">
        <v>35</v>
      </c>
      <c r="C41" s="2" t="s">
        <v>5</v>
      </c>
    </row>
    <row r="42" spans="1:3" ht="16" x14ac:dyDescent="0.2">
      <c r="A42" s="2" t="s">
        <v>878</v>
      </c>
      <c r="B42" s="2" t="s">
        <v>111</v>
      </c>
      <c r="C42" s="2" t="s">
        <v>5</v>
      </c>
    </row>
    <row r="43" spans="1:3" ht="16" x14ac:dyDescent="0.2">
      <c r="A43" s="2" t="s">
        <v>879</v>
      </c>
      <c r="B43" s="2" t="s">
        <v>111</v>
      </c>
      <c r="C43" s="2" t="s">
        <v>5</v>
      </c>
    </row>
    <row r="44" spans="1:3" ht="16" x14ac:dyDescent="0.2">
      <c r="A44" s="2" t="s">
        <v>880</v>
      </c>
      <c r="B44" s="4">
        <v>9</v>
      </c>
      <c r="C44" s="2" t="s">
        <v>5</v>
      </c>
    </row>
    <row r="45" spans="1:3" ht="16" x14ac:dyDescent="0.2">
      <c r="A45" s="2" t="s">
        <v>844</v>
      </c>
      <c r="B45" s="5">
        <v>44</v>
      </c>
      <c r="C45" s="2" t="s">
        <v>5</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27"/>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881</v>
      </c>
      <c r="B1" s="12" t="s">
        <v>2</v>
      </c>
      <c r="C1" s="12" t="s">
        <v>75</v>
      </c>
    </row>
    <row r="2" spans="1:3" ht="16" x14ac:dyDescent="0.2">
      <c r="A2" s="1" t="s">
        <v>850</v>
      </c>
      <c r="B2" s="2" t="s">
        <v>5</v>
      </c>
      <c r="C2" s="2" t="s">
        <v>5</v>
      </c>
    </row>
    <row r="3" spans="1:3" ht="16" x14ac:dyDescent="0.2">
      <c r="A3" s="2" t="s">
        <v>882</v>
      </c>
      <c r="B3" s="5">
        <v>352</v>
      </c>
      <c r="C3" s="5">
        <v>470</v>
      </c>
    </row>
    <row r="4" spans="1:3" ht="16" x14ac:dyDescent="0.2">
      <c r="A4" s="2" t="s">
        <v>883</v>
      </c>
      <c r="B4" s="2" t="s">
        <v>5</v>
      </c>
      <c r="C4" s="2" t="s">
        <v>5</v>
      </c>
    </row>
    <row r="5" spans="1:3" ht="16" x14ac:dyDescent="0.2">
      <c r="A5" s="1" t="s">
        <v>850</v>
      </c>
      <c r="B5" s="2" t="s">
        <v>5</v>
      </c>
      <c r="C5" s="2" t="s">
        <v>5</v>
      </c>
    </row>
    <row r="6" spans="1:3" ht="16" x14ac:dyDescent="0.2">
      <c r="A6" s="2" t="s">
        <v>884</v>
      </c>
      <c r="B6" s="4">
        <v>478</v>
      </c>
      <c r="C6" s="4">
        <v>563</v>
      </c>
    </row>
    <row r="7" spans="1:3" ht="16" x14ac:dyDescent="0.2">
      <c r="A7" s="2" t="s">
        <v>882</v>
      </c>
      <c r="B7" s="4">
        <v>0</v>
      </c>
      <c r="C7" s="4">
        <v>45</v>
      </c>
    </row>
    <row r="8" spans="1:3" ht="16" x14ac:dyDescent="0.2">
      <c r="A8" s="2" t="s">
        <v>885</v>
      </c>
      <c r="B8" s="2" t="s">
        <v>5</v>
      </c>
      <c r="C8" s="2" t="s">
        <v>5</v>
      </c>
    </row>
    <row r="9" spans="1:3" ht="16" x14ac:dyDescent="0.2">
      <c r="A9" s="1" t="s">
        <v>850</v>
      </c>
      <c r="B9" s="2" t="s">
        <v>5</v>
      </c>
      <c r="C9" s="2" t="s">
        <v>5</v>
      </c>
    </row>
    <row r="10" spans="1:3" ht="16" x14ac:dyDescent="0.2">
      <c r="A10" s="2" t="s">
        <v>884</v>
      </c>
      <c r="B10" s="4">
        <v>129</v>
      </c>
      <c r="C10" s="4">
        <v>394</v>
      </c>
    </row>
    <row r="11" spans="1:3" ht="16" x14ac:dyDescent="0.2">
      <c r="A11" s="2" t="s">
        <v>886</v>
      </c>
      <c r="B11" s="2" t="s">
        <v>5</v>
      </c>
      <c r="C11" s="2" t="s">
        <v>5</v>
      </c>
    </row>
    <row r="12" spans="1:3" ht="16" x14ac:dyDescent="0.2">
      <c r="A12" s="1" t="s">
        <v>850</v>
      </c>
      <c r="B12" s="2" t="s">
        <v>5</v>
      </c>
      <c r="C12" s="2" t="s">
        <v>5</v>
      </c>
    </row>
    <row r="13" spans="1:3" ht="16" x14ac:dyDescent="0.2">
      <c r="A13" s="2" t="s">
        <v>884</v>
      </c>
      <c r="B13" s="4">
        <v>156</v>
      </c>
      <c r="C13" s="4">
        <v>186</v>
      </c>
    </row>
    <row r="14" spans="1:3" ht="16" x14ac:dyDescent="0.2">
      <c r="A14" s="2" t="s">
        <v>882</v>
      </c>
      <c r="B14" s="4">
        <v>148</v>
      </c>
      <c r="C14" s="4">
        <v>174</v>
      </c>
    </row>
    <row r="15" spans="1:3" ht="16" x14ac:dyDescent="0.2">
      <c r="A15" s="2" t="s">
        <v>887</v>
      </c>
      <c r="B15" s="2" t="s">
        <v>5</v>
      </c>
      <c r="C15" s="2" t="s">
        <v>5</v>
      </c>
    </row>
    <row r="16" spans="1:3" ht="16" x14ac:dyDescent="0.2">
      <c r="A16" s="1" t="s">
        <v>850</v>
      </c>
      <c r="B16" s="2" t="s">
        <v>5</v>
      </c>
      <c r="C16" s="2" t="s">
        <v>5</v>
      </c>
    </row>
    <row r="17" spans="1:3" ht="16" x14ac:dyDescent="0.2">
      <c r="A17" s="2" t="s">
        <v>884</v>
      </c>
      <c r="B17" s="4">
        <v>194</v>
      </c>
      <c r="C17" s="4">
        <v>209</v>
      </c>
    </row>
    <row r="18" spans="1:3" ht="16" x14ac:dyDescent="0.2">
      <c r="A18" s="2" t="s">
        <v>882</v>
      </c>
      <c r="B18" s="4">
        <v>194</v>
      </c>
      <c r="C18" s="4">
        <v>209</v>
      </c>
    </row>
    <row r="19" spans="1:3" ht="16" x14ac:dyDescent="0.2">
      <c r="A19" s="2" t="s">
        <v>888</v>
      </c>
      <c r="B19" s="2" t="s">
        <v>5</v>
      </c>
      <c r="C19" s="2" t="s">
        <v>5</v>
      </c>
    </row>
    <row r="20" spans="1:3" ht="16" x14ac:dyDescent="0.2">
      <c r="A20" s="1" t="s">
        <v>850</v>
      </c>
      <c r="B20" s="2" t="s">
        <v>5</v>
      </c>
      <c r="C20" s="2" t="s">
        <v>5</v>
      </c>
    </row>
    <row r="21" spans="1:3" ht="16" x14ac:dyDescent="0.2">
      <c r="A21" s="2" t="s">
        <v>884</v>
      </c>
      <c r="B21" s="2" t="s">
        <v>5</v>
      </c>
      <c r="C21" s="4">
        <v>96</v>
      </c>
    </row>
    <row r="22" spans="1:3" ht="16" x14ac:dyDescent="0.2">
      <c r="A22" s="2" t="s">
        <v>889</v>
      </c>
      <c r="B22" s="2" t="s">
        <v>5</v>
      </c>
      <c r="C22" s="2" t="s">
        <v>5</v>
      </c>
    </row>
    <row r="23" spans="1:3" ht="16" x14ac:dyDescent="0.2">
      <c r="A23" s="1" t="s">
        <v>850</v>
      </c>
      <c r="B23" s="2" t="s">
        <v>5</v>
      </c>
      <c r="C23" s="2" t="s">
        <v>5</v>
      </c>
    </row>
    <row r="24" spans="1:3" ht="16" x14ac:dyDescent="0.2">
      <c r="A24" s="2" t="s">
        <v>884</v>
      </c>
      <c r="B24" s="2" t="s">
        <v>5</v>
      </c>
      <c r="C24" s="4">
        <v>107</v>
      </c>
    </row>
    <row r="25" spans="1:3" ht="16" x14ac:dyDescent="0.2">
      <c r="A25" s="2" t="s">
        <v>890</v>
      </c>
      <c r="B25" s="2" t="s">
        <v>5</v>
      </c>
      <c r="C25" s="2" t="s">
        <v>5</v>
      </c>
    </row>
    <row r="26" spans="1:3" ht="16" x14ac:dyDescent="0.2">
      <c r="A26" s="1" t="s">
        <v>850</v>
      </c>
      <c r="B26" s="2" t="s">
        <v>5</v>
      </c>
      <c r="C26" s="2" t="s">
        <v>5</v>
      </c>
    </row>
    <row r="27" spans="1:3" ht="16" x14ac:dyDescent="0.2">
      <c r="A27" s="2" t="s">
        <v>884</v>
      </c>
      <c r="B27" s="5">
        <v>43</v>
      </c>
      <c r="C27" s="5">
        <v>46</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28"/>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891</v>
      </c>
      <c r="B1" s="12" t="s">
        <v>2</v>
      </c>
      <c r="C1" s="12" t="s">
        <v>75</v>
      </c>
    </row>
    <row r="2" spans="1:3" ht="16" x14ac:dyDescent="0.2">
      <c r="A2" s="1" t="s">
        <v>892</v>
      </c>
      <c r="B2" s="2" t="s">
        <v>5</v>
      </c>
      <c r="C2" s="2" t="s">
        <v>5</v>
      </c>
    </row>
    <row r="3" spans="1:3" ht="16" x14ac:dyDescent="0.2">
      <c r="A3" s="2" t="s">
        <v>893</v>
      </c>
      <c r="B3" s="5">
        <v>17</v>
      </c>
      <c r="C3" s="2" t="s">
        <v>5</v>
      </c>
    </row>
    <row r="4" spans="1:3" ht="16" x14ac:dyDescent="0.2">
      <c r="A4" s="2" t="s">
        <v>894</v>
      </c>
      <c r="B4" s="4">
        <v>9</v>
      </c>
      <c r="C4" s="2" t="s">
        <v>5</v>
      </c>
    </row>
    <row r="5" spans="1:3" ht="16" x14ac:dyDescent="0.2">
      <c r="A5" s="2" t="s">
        <v>895</v>
      </c>
      <c r="B5" s="4">
        <v>10</v>
      </c>
      <c r="C5" s="2" t="s">
        <v>5</v>
      </c>
    </row>
    <row r="6" spans="1:3" ht="16" x14ac:dyDescent="0.2">
      <c r="A6" s="2" t="s">
        <v>896</v>
      </c>
      <c r="B6" s="4">
        <v>11</v>
      </c>
      <c r="C6" s="2" t="s">
        <v>5</v>
      </c>
    </row>
    <row r="7" spans="1:3" ht="16" x14ac:dyDescent="0.2">
      <c r="A7" s="2" t="s">
        <v>897</v>
      </c>
      <c r="B7" s="4">
        <v>12</v>
      </c>
      <c r="C7" s="2" t="s">
        <v>5</v>
      </c>
    </row>
    <row r="8" spans="1:3" ht="16" x14ac:dyDescent="0.2">
      <c r="A8" s="2" t="s">
        <v>898</v>
      </c>
      <c r="B8" s="4">
        <v>43</v>
      </c>
      <c r="C8" s="2" t="s">
        <v>5</v>
      </c>
    </row>
    <row r="9" spans="1:3" ht="16" x14ac:dyDescent="0.2">
      <c r="A9" s="2" t="s">
        <v>899</v>
      </c>
      <c r="B9" s="4">
        <v>102</v>
      </c>
      <c r="C9" s="2" t="s">
        <v>5</v>
      </c>
    </row>
    <row r="10" spans="1:3" ht="16" x14ac:dyDescent="0.2">
      <c r="A10" s="1" t="s">
        <v>900</v>
      </c>
      <c r="B10" s="2" t="s">
        <v>5</v>
      </c>
      <c r="C10" s="2" t="s">
        <v>5</v>
      </c>
    </row>
    <row r="11" spans="1:3" ht="16" x14ac:dyDescent="0.2">
      <c r="A11" s="2" t="s">
        <v>893</v>
      </c>
      <c r="B11" s="4">
        <v>149</v>
      </c>
      <c r="C11" s="2" t="s">
        <v>5</v>
      </c>
    </row>
    <row r="12" spans="1:3" ht="16" x14ac:dyDescent="0.2">
      <c r="A12" s="2" t="s">
        <v>894</v>
      </c>
      <c r="B12" s="4">
        <v>102</v>
      </c>
      <c r="C12" s="2" t="s">
        <v>5</v>
      </c>
    </row>
    <row r="13" spans="1:3" ht="16" x14ac:dyDescent="0.2">
      <c r="A13" s="2" t="s">
        <v>895</v>
      </c>
      <c r="B13" s="4">
        <v>109</v>
      </c>
      <c r="C13" s="2" t="s">
        <v>5</v>
      </c>
    </row>
    <row r="14" spans="1:3" ht="16" x14ac:dyDescent="0.2">
      <c r="A14" s="2" t="s">
        <v>896</v>
      </c>
      <c r="B14" s="4">
        <v>127</v>
      </c>
      <c r="C14" s="2" t="s">
        <v>5</v>
      </c>
    </row>
    <row r="15" spans="1:3" ht="16" x14ac:dyDescent="0.2">
      <c r="A15" s="2" t="s">
        <v>897</v>
      </c>
      <c r="B15" s="4">
        <v>137</v>
      </c>
      <c r="C15" s="2" t="s">
        <v>5</v>
      </c>
    </row>
    <row r="16" spans="1:3" ht="16" x14ac:dyDescent="0.2">
      <c r="A16" s="2" t="s">
        <v>898</v>
      </c>
      <c r="B16" s="4">
        <v>73</v>
      </c>
      <c r="C16" s="2" t="s">
        <v>5</v>
      </c>
    </row>
    <row r="17" spans="1:3" ht="16" x14ac:dyDescent="0.2">
      <c r="A17" s="2" t="s">
        <v>899</v>
      </c>
      <c r="B17" s="4">
        <v>697</v>
      </c>
      <c r="C17" s="5">
        <v>924</v>
      </c>
    </row>
    <row r="18" spans="1:3" ht="16" x14ac:dyDescent="0.2">
      <c r="A18" s="2" t="s">
        <v>901</v>
      </c>
      <c r="B18" s="4">
        <v>-162</v>
      </c>
      <c r="C18" s="2" t="s">
        <v>5</v>
      </c>
    </row>
    <row r="19" spans="1:3" ht="16" x14ac:dyDescent="0.2">
      <c r="A19" s="2" t="s">
        <v>858</v>
      </c>
      <c r="B19" s="4">
        <v>21</v>
      </c>
      <c r="C19" s="4">
        <v>86</v>
      </c>
    </row>
    <row r="20" spans="1:3" ht="16" x14ac:dyDescent="0.2">
      <c r="A20" s="2" t="s">
        <v>842</v>
      </c>
      <c r="B20" s="4">
        <v>556</v>
      </c>
      <c r="C20" s="5">
        <v>804</v>
      </c>
    </row>
    <row r="21" spans="1:3" ht="16" x14ac:dyDescent="0.2">
      <c r="A21" s="1" t="s">
        <v>902</v>
      </c>
      <c r="B21" s="2" t="s">
        <v>5</v>
      </c>
      <c r="C21" s="2" t="s">
        <v>5</v>
      </c>
    </row>
    <row r="22" spans="1:3" ht="16" x14ac:dyDescent="0.2">
      <c r="A22" s="2" t="s">
        <v>893</v>
      </c>
      <c r="B22" s="4">
        <v>69</v>
      </c>
      <c r="C22" s="2" t="s">
        <v>5</v>
      </c>
    </row>
    <row r="23" spans="1:3" ht="16" x14ac:dyDescent="0.2">
      <c r="A23" s="2" t="s">
        <v>894</v>
      </c>
      <c r="B23" s="4">
        <v>61</v>
      </c>
      <c r="C23" s="2" t="s">
        <v>5</v>
      </c>
    </row>
    <row r="24" spans="1:3" ht="16" x14ac:dyDescent="0.2">
      <c r="A24" s="2" t="s">
        <v>895</v>
      </c>
      <c r="B24" s="4">
        <v>52</v>
      </c>
      <c r="C24" s="2" t="s">
        <v>5</v>
      </c>
    </row>
    <row r="25" spans="1:3" ht="16" x14ac:dyDescent="0.2">
      <c r="A25" s="2" t="s">
        <v>896</v>
      </c>
      <c r="B25" s="4">
        <v>47</v>
      </c>
      <c r="C25" s="2" t="s">
        <v>5</v>
      </c>
    </row>
    <row r="26" spans="1:3" ht="16" x14ac:dyDescent="0.2">
      <c r="A26" s="2" t="s">
        <v>897</v>
      </c>
      <c r="B26" s="4">
        <v>45</v>
      </c>
      <c r="C26" s="2" t="s">
        <v>5</v>
      </c>
    </row>
    <row r="27" spans="1:3" ht="16" x14ac:dyDescent="0.2">
      <c r="A27" s="2" t="s">
        <v>898</v>
      </c>
      <c r="B27" s="4">
        <v>48</v>
      </c>
      <c r="C27" s="2" t="s">
        <v>5</v>
      </c>
    </row>
    <row r="28" spans="1:3" ht="16" x14ac:dyDescent="0.2">
      <c r="A28" s="2" t="s">
        <v>899</v>
      </c>
      <c r="B28" s="5">
        <v>322</v>
      </c>
      <c r="C28" s="2" t="s">
        <v>5</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19"/>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903</v>
      </c>
      <c r="B1" s="12" t="s">
        <v>2</v>
      </c>
      <c r="C1" s="12" t="s">
        <v>75</v>
      </c>
    </row>
    <row r="2" spans="1:3" ht="16" x14ac:dyDescent="0.2">
      <c r="A2" s="1" t="s">
        <v>904</v>
      </c>
      <c r="B2" s="2" t="s">
        <v>5</v>
      </c>
      <c r="C2" s="2" t="s">
        <v>5</v>
      </c>
    </row>
    <row r="3" spans="1:3" ht="16" x14ac:dyDescent="0.2">
      <c r="A3" s="2" t="s">
        <v>905</v>
      </c>
      <c r="B3" s="5">
        <v>32906</v>
      </c>
      <c r="C3" s="5">
        <v>31992</v>
      </c>
    </row>
    <row r="4" spans="1:3" ht="16" x14ac:dyDescent="0.2">
      <c r="A4" s="2" t="s">
        <v>906</v>
      </c>
      <c r="B4" s="4">
        <v>-22245</v>
      </c>
      <c r="C4" s="4">
        <v>-21442</v>
      </c>
    </row>
    <row r="5" spans="1:3" ht="16" x14ac:dyDescent="0.2">
      <c r="A5" s="2" t="s">
        <v>300</v>
      </c>
      <c r="B5" s="4">
        <v>10661</v>
      </c>
      <c r="C5" s="4">
        <v>10550</v>
      </c>
    </row>
    <row r="6" spans="1:3" ht="16" x14ac:dyDescent="0.2">
      <c r="A6" s="2" t="s">
        <v>907</v>
      </c>
      <c r="B6" s="2" t="s">
        <v>5</v>
      </c>
      <c r="C6" s="2" t="s">
        <v>5</v>
      </c>
    </row>
    <row r="7" spans="1:3" ht="16" x14ac:dyDescent="0.2">
      <c r="A7" s="1" t="s">
        <v>904</v>
      </c>
      <c r="B7" s="2" t="s">
        <v>5</v>
      </c>
      <c r="C7" s="2" t="s">
        <v>5</v>
      </c>
    </row>
    <row r="8" spans="1:3" ht="16" x14ac:dyDescent="0.2">
      <c r="A8" s="2" t="s">
        <v>905</v>
      </c>
      <c r="B8" s="4">
        <v>377</v>
      </c>
      <c r="C8" s="4">
        <v>376</v>
      </c>
    </row>
    <row r="9" spans="1:3" ht="16" x14ac:dyDescent="0.2">
      <c r="A9" s="2" t="s">
        <v>908</v>
      </c>
      <c r="B9" s="2" t="s">
        <v>5</v>
      </c>
      <c r="C9" s="2" t="s">
        <v>5</v>
      </c>
    </row>
    <row r="10" spans="1:3" ht="16" x14ac:dyDescent="0.2">
      <c r="A10" s="1" t="s">
        <v>904</v>
      </c>
      <c r="B10" s="2" t="s">
        <v>5</v>
      </c>
      <c r="C10" s="2" t="s">
        <v>5</v>
      </c>
    </row>
    <row r="11" spans="1:3" ht="16" x14ac:dyDescent="0.2">
      <c r="A11" s="2" t="s">
        <v>905</v>
      </c>
      <c r="B11" s="4">
        <v>14795</v>
      </c>
      <c r="C11" s="4">
        <v>14404</v>
      </c>
    </row>
    <row r="12" spans="1:3" ht="16" x14ac:dyDescent="0.2">
      <c r="A12" s="2" t="s">
        <v>909</v>
      </c>
      <c r="B12" s="2" t="s">
        <v>5</v>
      </c>
      <c r="C12" s="2" t="s">
        <v>5</v>
      </c>
    </row>
    <row r="13" spans="1:3" ht="16" x14ac:dyDescent="0.2">
      <c r="A13" s="1" t="s">
        <v>904</v>
      </c>
      <c r="B13" s="2" t="s">
        <v>5</v>
      </c>
      <c r="C13" s="2" t="s">
        <v>5</v>
      </c>
    </row>
    <row r="14" spans="1:3" ht="16" x14ac:dyDescent="0.2">
      <c r="A14" s="2" t="s">
        <v>905</v>
      </c>
      <c r="B14" s="4">
        <v>16055</v>
      </c>
      <c r="C14" s="4">
        <v>15844</v>
      </c>
    </row>
    <row r="15" spans="1:3" ht="16" x14ac:dyDescent="0.2">
      <c r="A15" s="2" t="s">
        <v>910</v>
      </c>
      <c r="B15" s="2" t="s">
        <v>5</v>
      </c>
      <c r="C15" s="2" t="s">
        <v>5</v>
      </c>
    </row>
    <row r="16" spans="1:3" ht="16" x14ac:dyDescent="0.2">
      <c r="A16" s="1" t="s">
        <v>904</v>
      </c>
      <c r="B16" s="2" t="s">
        <v>5</v>
      </c>
      <c r="C16" s="2" t="s">
        <v>5</v>
      </c>
    </row>
    <row r="17" spans="1:3" ht="16" x14ac:dyDescent="0.2">
      <c r="A17" s="2" t="s">
        <v>905</v>
      </c>
      <c r="B17" s="5">
        <v>1679</v>
      </c>
      <c r="C17" s="5">
        <v>1368</v>
      </c>
    </row>
    <row r="19" spans="1:3" x14ac:dyDescent="0.2">
      <c r="B19" s="15"/>
      <c r="C19" s="15"/>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9"/>
  <sheetViews>
    <sheetView workbookViewId="0"/>
  </sheetViews>
  <sheetFormatPr baseColWidth="10" defaultColWidth="8.83203125" defaultRowHeight="15" x14ac:dyDescent="0.2"/>
  <cols>
    <col min="1" max="1" width="76" customWidth="1"/>
    <col min="2" max="2" width="16" customWidth="1"/>
    <col min="3" max="4" width="14" customWidth="1"/>
  </cols>
  <sheetData>
    <row r="1" spans="1:4" x14ac:dyDescent="0.2">
      <c r="A1" s="59" t="s">
        <v>911</v>
      </c>
      <c r="B1" s="61" t="s">
        <v>1</v>
      </c>
      <c r="C1" s="60"/>
      <c r="D1" s="60"/>
    </row>
    <row r="2" spans="1:4" ht="16" x14ac:dyDescent="0.2">
      <c r="A2" s="60"/>
      <c r="B2" s="12" t="s">
        <v>2</v>
      </c>
      <c r="C2" s="12" t="s">
        <v>75</v>
      </c>
      <c r="D2" s="12" t="s">
        <v>76</v>
      </c>
    </row>
    <row r="3" spans="1:4" ht="16" x14ac:dyDescent="0.2">
      <c r="A3" s="1" t="s">
        <v>904</v>
      </c>
      <c r="B3" s="2" t="s">
        <v>5</v>
      </c>
      <c r="C3" s="2" t="s">
        <v>5</v>
      </c>
      <c r="D3" s="2" t="s">
        <v>5</v>
      </c>
    </row>
    <row r="4" spans="1:4" ht="16" x14ac:dyDescent="0.2">
      <c r="A4" s="2" t="s">
        <v>912</v>
      </c>
      <c r="B4" s="5">
        <v>101</v>
      </c>
      <c r="C4" s="5">
        <v>89</v>
      </c>
      <c r="D4" s="5">
        <v>76</v>
      </c>
    </row>
    <row r="5" spans="1:4" ht="16" x14ac:dyDescent="0.2">
      <c r="A5" s="2" t="s">
        <v>913</v>
      </c>
      <c r="B5" s="4">
        <v>124</v>
      </c>
      <c r="C5" s="4">
        <v>101</v>
      </c>
      <c r="D5" s="2" t="s">
        <v>5</v>
      </c>
    </row>
    <row r="6" spans="1:4" ht="16" x14ac:dyDescent="0.2">
      <c r="A6" s="2" t="s">
        <v>914</v>
      </c>
      <c r="B6" s="4">
        <v>498</v>
      </c>
      <c r="C6" s="4">
        <v>396</v>
      </c>
      <c r="D6" s="2" t="s">
        <v>5</v>
      </c>
    </row>
    <row r="7" spans="1:4" ht="16" x14ac:dyDescent="0.2">
      <c r="A7" s="2" t="s">
        <v>915</v>
      </c>
      <c r="B7" s="2" t="s">
        <v>5</v>
      </c>
      <c r="C7" s="2" t="s">
        <v>5</v>
      </c>
      <c r="D7" s="2" t="s">
        <v>5</v>
      </c>
    </row>
    <row r="8" spans="1:4" ht="16" x14ac:dyDescent="0.2">
      <c r="A8" s="1" t="s">
        <v>904</v>
      </c>
      <c r="B8" s="2" t="s">
        <v>5</v>
      </c>
      <c r="C8" s="2" t="s">
        <v>5</v>
      </c>
      <c r="D8" s="2" t="s">
        <v>5</v>
      </c>
    </row>
    <row r="9" spans="1:4" ht="16" x14ac:dyDescent="0.2">
      <c r="A9" s="2" t="s">
        <v>916</v>
      </c>
      <c r="B9" s="5">
        <v>1328</v>
      </c>
      <c r="C9" s="5">
        <v>1396</v>
      </c>
      <c r="D9" s="5">
        <v>1488</v>
      </c>
    </row>
  </sheetData>
  <mergeCells count="2">
    <mergeCell ref="A1:A2"/>
    <mergeCell ref="B1:D1"/>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D11"/>
  <sheetViews>
    <sheetView workbookViewId="0"/>
  </sheetViews>
  <sheetFormatPr baseColWidth="10" defaultColWidth="8.83203125" defaultRowHeight="15" x14ac:dyDescent="0.2"/>
  <cols>
    <col min="1" max="1" width="72" customWidth="1"/>
    <col min="2" max="2" width="16" customWidth="1"/>
    <col min="3" max="4" width="14" customWidth="1"/>
  </cols>
  <sheetData>
    <row r="1" spans="1:4" x14ac:dyDescent="0.2">
      <c r="A1" s="59" t="s">
        <v>917</v>
      </c>
      <c r="B1" s="61" t="s">
        <v>1</v>
      </c>
      <c r="C1" s="60"/>
    </row>
    <row r="2" spans="1:4" ht="16" x14ac:dyDescent="0.2">
      <c r="A2" s="60"/>
      <c r="B2" s="12" t="s">
        <v>2</v>
      </c>
      <c r="C2" s="12" t="s">
        <v>75</v>
      </c>
      <c r="D2" s="12" t="s">
        <v>76</v>
      </c>
    </row>
    <row r="3" spans="1:4" ht="16" x14ac:dyDescent="0.2">
      <c r="A3" s="1" t="s">
        <v>355</v>
      </c>
      <c r="B3" s="2" t="s">
        <v>5</v>
      </c>
      <c r="C3" s="2" t="s">
        <v>5</v>
      </c>
      <c r="D3" s="2" t="s">
        <v>5</v>
      </c>
    </row>
    <row r="4" spans="1:4" ht="16" x14ac:dyDescent="0.2">
      <c r="A4" s="2" t="s">
        <v>918</v>
      </c>
      <c r="B4" s="5">
        <v>2753</v>
      </c>
      <c r="C4" s="5">
        <v>2093</v>
      </c>
      <c r="D4" s="2" t="s">
        <v>5</v>
      </c>
    </row>
    <row r="5" spans="1:4" ht="16" x14ac:dyDescent="0.2">
      <c r="A5" s="2" t="s">
        <v>919</v>
      </c>
      <c r="B5" s="4">
        <v>966</v>
      </c>
      <c r="C5" s="4">
        <v>948</v>
      </c>
      <c r="D5" s="2" t="s">
        <v>5</v>
      </c>
    </row>
    <row r="6" spans="1:4" ht="16" x14ac:dyDescent="0.2">
      <c r="A6" s="2" t="s">
        <v>920</v>
      </c>
      <c r="B6" s="4">
        <v>499</v>
      </c>
      <c r="C6" s="4">
        <v>479</v>
      </c>
      <c r="D6" s="2" t="s">
        <v>5</v>
      </c>
    </row>
    <row r="7" spans="1:4" ht="16" x14ac:dyDescent="0.2">
      <c r="A7" s="2" t="s">
        <v>921</v>
      </c>
      <c r="B7" s="4">
        <v>69</v>
      </c>
      <c r="C7" s="4">
        <v>36</v>
      </c>
      <c r="D7" s="2" t="s">
        <v>5</v>
      </c>
    </row>
    <row r="8" spans="1:4" ht="16" x14ac:dyDescent="0.2">
      <c r="A8" s="2" t="s">
        <v>922</v>
      </c>
      <c r="B8" s="4">
        <v>22</v>
      </c>
      <c r="C8" s="4">
        <v>33</v>
      </c>
      <c r="D8" s="5">
        <v>52</v>
      </c>
    </row>
    <row r="9" spans="1:4" ht="16" x14ac:dyDescent="0.2">
      <c r="A9" s="2" t="s">
        <v>300</v>
      </c>
      <c r="B9" s="4">
        <v>4309</v>
      </c>
      <c r="C9" s="4">
        <v>3589</v>
      </c>
      <c r="D9" s="2" t="s">
        <v>5</v>
      </c>
    </row>
    <row r="10" spans="1:4" ht="16" x14ac:dyDescent="0.2">
      <c r="A10" s="2" t="s">
        <v>923</v>
      </c>
      <c r="B10" s="4">
        <v>31</v>
      </c>
      <c r="C10" s="5">
        <v>111</v>
      </c>
      <c r="D10" s="2" t="s">
        <v>5</v>
      </c>
    </row>
    <row r="11" spans="1:4" ht="16" x14ac:dyDescent="0.2">
      <c r="A11" s="2" t="s">
        <v>924</v>
      </c>
      <c r="B11" s="5">
        <v>110</v>
      </c>
      <c r="C11" s="2" t="s">
        <v>5</v>
      </c>
      <c r="D11" s="2" t="s">
        <v>5</v>
      </c>
    </row>
  </sheetData>
  <mergeCells count="2">
    <mergeCell ref="A1:A2"/>
    <mergeCell ref="B1:C1"/>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D9"/>
  <sheetViews>
    <sheetView workbookViewId="0"/>
  </sheetViews>
  <sheetFormatPr baseColWidth="10" defaultColWidth="8.83203125" defaultRowHeight="15" x14ac:dyDescent="0.2"/>
  <cols>
    <col min="1" max="1" width="58" customWidth="1"/>
    <col min="2" max="2" width="16" customWidth="1"/>
    <col min="3" max="4" width="14" customWidth="1"/>
  </cols>
  <sheetData>
    <row r="1" spans="1:4" x14ac:dyDescent="0.2">
      <c r="A1" s="59" t="s">
        <v>925</v>
      </c>
      <c r="B1" s="61" t="s">
        <v>1</v>
      </c>
      <c r="C1" s="60"/>
      <c r="D1" s="60"/>
    </row>
    <row r="2" spans="1:4" ht="16" x14ac:dyDescent="0.2">
      <c r="A2" s="60"/>
      <c r="B2" s="12" t="s">
        <v>2</v>
      </c>
      <c r="C2" s="12" t="s">
        <v>75</v>
      </c>
      <c r="D2" s="12" t="s">
        <v>76</v>
      </c>
    </row>
    <row r="3" spans="1:4" ht="16" x14ac:dyDescent="0.2">
      <c r="A3" s="1" t="s">
        <v>926</v>
      </c>
      <c r="B3" s="2" t="s">
        <v>5</v>
      </c>
      <c r="C3" s="2" t="s">
        <v>5</v>
      </c>
      <c r="D3" s="2" t="s">
        <v>5</v>
      </c>
    </row>
    <row r="4" spans="1:4" ht="16" x14ac:dyDescent="0.2">
      <c r="A4" s="2" t="s">
        <v>222</v>
      </c>
      <c r="B4" s="5">
        <v>16448</v>
      </c>
      <c r="C4" s="5">
        <v>5051</v>
      </c>
      <c r="D4" s="5">
        <v>35713</v>
      </c>
    </row>
    <row r="5" spans="1:4" ht="16" x14ac:dyDescent="0.2">
      <c r="A5" s="2" t="s">
        <v>223</v>
      </c>
      <c r="B5" s="4">
        <v>15739</v>
      </c>
      <c r="C5" s="4">
        <v>10619</v>
      </c>
      <c r="D5" s="4">
        <v>45489</v>
      </c>
    </row>
    <row r="6" spans="1:4" ht="16" x14ac:dyDescent="0.2">
      <c r="A6" s="2" t="s">
        <v>927</v>
      </c>
      <c r="B6" s="2" t="s">
        <v>5</v>
      </c>
      <c r="C6" s="2" t="s">
        <v>5</v>
      </c>
      <c r="D6" s="2" t="s">
        <v>5</v>
      </c>
    </row>
    <row r="7" spans="1:4" ht="16" x14ac:dyDescent="0.2">
      <c r="A7" s="1" t="s">
        <v>926</v>
      </c>
      <c r="B7" s="2" t="s">
        <v>5</v>
      </c>
      <c r="C7" s="2" t="s">
        <v>5</v>
      </c>
      <c r="D7" s="2" t="s">
        <v>5</v>
      </c>
    </row>
    <row r="8" spans="1:4" ht="16" x14ac:dyDescent="0.2">
      <c r="A8" s="2" t="s">
        <v>222</v>
      </c>
      <c r="B8" s="4">
        <v>15794</v>
      </c>
      <c r="C8" s="4">
        <v>4358</v>
      </c>
      <c r="D8" s="4">
        <v>34905</v>
      </c>
    </row>
    <row r="9" spans="1:4" ht="16" x14ac:dyDescent="0.2">
      <c r="A9" s="2" t="s">
        <v>223</v>
      </c>
      <c r="B9" s="5">
        <v>15140</v>
      </c>
      <c r="C9" s="5">
        <v>9943</v>
      </c>
      <c r="D9" s="5">
        <v>44372</v>
      </c>
    </row>
  </sheetData>
  <mergeCells count="2">
    <mergeCell ref="A1:A2"/>
    <mergeCell ref="B1:D1"/>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10"/>
  <sheetViews>
    <sheetView workbookViewId="0"/>
  </sheetViews>
  <sheetFormatPr baseColWidth="10" defaultColWidth="8.83203125" defaultRowHeight="15" x14ac:dyDescent="0.2"/>
  <cols>
    <col min="1" max="1" width="80" customWidth="1"/>
    <col min="2" max="3" width="14" customWidth="1"/>
  </cols>
  <sheetData>
    <row r="1" spans="1:3" ht="16" x14ac:dyDescent="0.2">
      <c r="A1" s="11" t="s">
        <v>928</v>
      </c>
      <c r="B1" s="12" t="s">
        <v>2</v>
      </c>
      <c r="C1" s="12" t="s">
        <v>75</v>
      </c>
    </row>
    <row r="2" spans="1:3" ht="16" x14ac:dyDescent="0.2">
      <c r="A2" s="1" t="s">
        <v>926</v>
      </c>
      <c r="B2" s="2" t="s">
        <v>5</v>
      </c>
      <c r="C2" s="2" t="s">
        <v>5</v>
      </c>
    </row>
    <row r="3" spans="1:3" ht="16" x14ac:dyDescent="0.2">
      <c r="A3" s="2" t="s">
        <v>919</v>
      </c>
      <c r="B3" s="5">
        <v>966</v>
      </c>
      <c r="C3" s="5">
        <v>948</v>
      </c>
    </row>
    <row r="4" spans="1:3" ht="16" x14ac:dyDescent="0.2">
      <c r="A4" s="2" t="s">
        <v>929</v>
      </c>
      <c r="B4" s="2" t="s">
        <v>5</v>
      </c>
      <c r="C4" s="2" t="s">
        <v>5</v>
      </c>
    </row>
    <row r="5" spans="1:3" ht="16" x14ac:dyDescent="0.2">
      <c r="A5" s="1" t="s">
        <v>926</v>
      </c>
      <c r="B5" s="2" t="s">
        <v>5</v>
      </c>
      <c r="C5" s="2" t="s">
        <v>5</v>
      </c>
    </row>
    <row r="6" spans="1:3" ht="16" x14ac:dyDescent="0.2">
      <c r="A6" s="2" t="s">
        <v>930</v>
      </c>
      <c r="B6" s="8">
        <v>0.5</v>
      </c>
      <c r="C6" s="8">
        <v>0.5</v>
      </c>
    </row>
    <row r="7" spans="1:3" ht="16" x14ac:dyDescent="0.2">
      <c r="A7" s="2" t="s">
        <v>919</v>
      </c>
      <c r="B7" s="5">
        <v>582</v>
      </c>
      <c r="C7" s="5">
        <v>587</v>
      </c>
    </row>
    <row r="8" spans="1:3" ht="16" x14ac:dyDescent="0.2">
      <c r="A8" s="2" t="s">
        <v>931</v>
      </c>
      <c r="B8" s="2" t="s">
        <v>5</v>
      </c>
      <c r="C8" s="2" t="s">
        <v>5</v>
      </c>
    </row>
    <row r="9" spans="1:3" ht="16" x14ac:dyDescent="0.2">
      <c r="A9" s="1" t="s">
        <v>926</v>
      </c>
      <c r="B9" s="2" t="s">
        <v>5</v>
      </c>
      <c r="C9" s="2" t="s">
        <v>5</v>
      </c>
    </row>
    <row r="10" spans="1:3" ht="16" x14ac:dyDescent="0.2">
      <c r="A10" s="2" t="s">
        <v>919</v>
      </c>
      <c r="B10" s="5">
        <v>384</v>
      </c>
      <c r="C10" s="5">
        <v>361</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4"/>
  <sheetViews>
    <sheetView workbookViewId="0"/>
  </sheetViews>
  <sheetFormatPr baseColWidth="10" defaultColWidth="8.83203125" defaultRowHeight="15" x14ac:dyDescent="0.2"/>
  <cols>
    <col min="1" max="1" width="70" customWidth="1"/>
    <col min="2" max="2" width="16" customWidth="1"/>
    <col min="3" max="3" width="14" customWidth="1"/>
  </cols>
  <sheetData>
    <row r="1" spans="1:3" x14ac:dyDescent="0.2">
      <c r="A1" s="59" t="s">
        <v>932</v>
      </c>
      <c r="B1" s="61" t="s">
        <v>1</v>
      </c>
      <c r="C1" s="60"/>
    </row>
    <row r="2" spans="1:3" ht="16" x14ac:dyDescent="0.2">
      <c r="A2" s="60"/>
      <c r="B2" s="12" t="s">
        <v>2</v>
      </c>
      <c r="C2" s="12" t="s">
        <v>75</v>
      </c>
    </row>
    <row r="3" spans="1:3" ht="16" x14ac:dyDescent="0.2">
      <c r="A3" s="1" t="s">
        <v>933</v>
      </c>
      <c r="B3" s="2" t="s">
        <v>5</v>
      </c>
      <c r="C3" s="2" t="s">
        <v>5</v>
      </c>
    </row>
    <row r="4" spans="1:3" ht="16" x14ac:dyDescent="0.2">
      <c r="A4" s="2" t="s">
        <v>934</v>
      </c>
      <c r="B4" s="5">
        <v>457</v>
      </c>
      <c r="C4" s="5">
        <v>421</v>
      </c>
    </row>
    <row r="5" spans="1:3" ht="16" x14ac:dyDescent="0.2">
      <c r="A5" s="2" t="s">
        <v>935</v>
      </c>
      <c r="B5" s="4">
        <v>76</v>
      </c>
      <c r="C5" s="4">
        <v>75</v>
      </c>
    </row>
    <row r="6" spans="1:3" ht="16" x14ac:dyDescent="0.2">
      <c r="A6" s="2" t="s">
        <v>936</v>
      </c>
      <c r="B6" s="4">
        <v>323</v>
      </c>
      <c r="C6" s="4">
        <v>294</v>
      </c>
    </row>
    <row r="7" spans="1:3" ht="16" x14ac:dyDescent="0.2">
      <c r="A7" s="2" t="s">
        <v>937</v>
      </c>
      <c r="B7" s="4">
        <v>488</v>
      </c>
      <c r="C7" s="5">
        <v>245</v>
      </c>
    </row>
    <row r="8" spans="1:3" ht="16" x14ac:dyDescent="0.2">
      <c r="A8" s="2" t="s">
        <v>938</v>
      </c>
      <c r="B8" s="5">
        <v>430</v>
      </c>
      <c r="C8" s="2" t="s">
        <v>5</v>
      </c>
    </row>
    <row r="9" spans="1:3" ht="16" x14ac:dyDescent="0.2">
      <c r="A9" s="2" t="s">
        <v>865</v>
      </c>
      <c r="B9" s="2" t="s">
        <v>5</v>
      </c>
      <c r="C9" s="2" t="s">
        <v>5</v>
      </c>
    </row>
    <row r="10" spans="1:3" ht="16" x14ac:dyDescent="0.2">
      <c r="A10" s="1" t="s">
        <v>933</v>
      </c>
      <c r="B10" s="2" t="s">
        <v>5</v>
      </c>
      <c r="C10" s="2" t="s">
        <v>5</v>
      </c>
    </row>
    <row r="11" spans="1:3" ht="16" x14ac:dyDescent="0.2">
      <c r="A11" s="2" t="s">
        <v>939</v>
      </c>
      <c r="B11" s="2" t="s">
        <v>638</v>
      </c>
      <c r="C11" s="2" t="s">
        <v>5</v>
      </c>
    </row>
    <row r="12" spans="1:3" ht="16" x14ac:dyDescent="0.2">
      <c r="A12" s="2" t="s">
        <v>867</v>
      </c>
      <c r="B12" s="2" t="s">
        <v>5</v>
      </c>
      <c r="C12" s="2" t="s">
        <v>5</v>
      </c>
    </row>
    <row r="13" spans="1:3" ht="16" x14ac:dyDescent="0.2">
      <c r="A13" s="1" t="s">
        <v>933</v>
      </c>
      <c r="B13" s="2" t="s">
        <v>5</v>
      </c>
      <c r="C13" s="2" t="s">
        <v>5</v>
      </c>
    </row>
    <row r="14" spans="1:3" ht="16" x14ac:dyDescent="0.2">
      <c r="A14" s="2" t="s">
        <v>939</v>
      </c>
      <c r="B14" s="2" t="s">
        <v>646</v>
      </c>
      <c r="C14" s="2" t="s">
        <v>5</v>
      </c>
    </row>
  </sheetData>
  <mergeCells count="2">
    <mergeCell ref="A1:A2"/>
    <mergeCell ref="B1:C1"/>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11"/>
  <sheetViews>
    <sheetView workbookViewId="0"/>
  </sheetViews>
  <sheetFormatPr baseColWidth="10" defaultColWidth="8.83203125" defaultRowHeight="15" x14ac:dyDescent="0.2"/>
  <cols>
    <col min="1" max="1" width="80" customWidth="1"/>
    <col min="2" max="3" width="28" customWidth="1"/>
  </cols>
  <sheetData>
    <row r="1" spans="1:3" ht="32" x14ac:dyDescent="0.2">
      <c r="A1" s="11" t="s">
        <v>940</v>
      </c>
      <c r="B1" s="12" t="s">
        <v>2</v>
      </c>
      <c r="C1" s="12" t="s">
        <v>75</v>
      </c>
    </row>
    <row r="2" spans="1:3" ht="16" x14ac:dyDescent="0.2">
      <c r="A2" s="1" t="s">
        <v>358</v>
      </c>
      <c r="B2" s="2" t="s">
        <v>5</v>
      </c>
      <c r="C2" s="2" t="s">
        <v>5</v>
      </c>
    </row>
    <row r="3" spans="1:3" ht="16" x14ac:dyDescent="0.2">
      <c r="A3" s="2" t="s">
        <v>941</v>
      </c>
      <c r="B3" s="5">
        <v>1690</v>
      </c>
      <c r="C3" s="5">
        <v>1451</v>
      </c>
    </row>
    <row r="4" spans="1:3" ht="16" x14ac:dyDescent="0.2">
      <c r="A4" s="2" t="s">
        <v>942</v>
      </c>
      <c r="B4" s="4">
        <v>296</v>
      </c>
      <c r="C4" s="4">
        <v>276</v>
      </c>
    </row>
    <row r="5" spans="1:3" ht="16" x14ac:dyDescent="0.2">
      <c r="A5" s="2" t="s">
        <v>943</v>
      </c>
      <c r="B5" s="4">
        <v>1518</v>
      </c>
      <c r="C5" s="4">
        <v>1305</v>
      </c>
    </row>
    <row r="6" spans="1:3" ht="16" x14ac:dyDescent="0.2">
      <c r="A6" s="2" t="s">
        <v>944</v>
      </c>
      <c r="B6" s="5">
        <v>1814</v>
      </c>
      <c r="C6" s="5">
        <v>1581</v>
      </c>
    </row>
    <row r="7" spans="1:3" ht="16" x14ac:dyDescent="0.2">
      <c r="A7" s="2" t="s">
        <v>945</v>
      </c>
      <c r="B7" s="2" t="s">
        <v>946</v>
      </c>
      <c r="C7" s="2" t="s">
        <v>868</v>
      </c>
    </row>
    <row r="8" spans="1:3" ht="16" x14ac:dyDescent="0.2">
      <c r="A8" s="2" t="s">
        <v>947</v>
      </c>
      <c r="B8" s="9">
        <v>3.2099999999999997E-2</v>
      </c>
      <c r="C8" s="9">
        <v>4.1300000000000003E-2</v>
      </c>
    </row>
    <row r="9" spans="1:3" ht="16" x14ac:dyDescent="0.2">
      <c r="A9" s="2" t="s">
        <v>948</v>
      </c>
      <c r="B9" s="2" t="s">
        <v>187</v>
      </c>
      <c r="C9" s="2" t="s">
        <v>187</v>
      </c>
    </row>
    <row r="10" spans="1:3" ht="16" x14ac:dyDescent="0.2">
      <c r="A10" s="2" t="s">
        <v>949</v>
      </c>
      <c r="B10" s="2" t="s">
        <v>950</v>
      </c>
      <c r="C10" s="2" t="s">
        <v>950</v>
      </c>
    </row>
    <row r="11" spans="1:3" ht="16" x14ac:dyDescent="0.2">
      <c r="A11" s="2" t="s">
        <v>951</v>
      </c>
      <c r="B11" s="2" t="s">
        <v>186</v>
      </c>
      <c r="C11" s="2" t="s">
        <v>186</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11"/>
  <sheetViews>
    <sheetView workbookViewId="0"/>
  </sheetViews>
  <sheetFormatPr baseColWidth="10" defaultColWidth="8.83203125" defaultRowHeight="15" x14ac:dyDescent="0.2"/>
  <cols>
    <col min="1" max="1" width="80" customWidth="1"/>
    <col min="2" max="3" width="14" customWidth="1"/>
  </cols>
  <sheetData>
    <row r="1" spans="1:3" ht="16" x14ac:dyDescent="0.2">
      <c r="A1" s="11" t="s">
        <v>952</v>
      </c>
      <c r="B1" s="12" t="s">
        <v>2</v>
      </c>
      <c r="C1" s="12" t="s">
        <v>75</v>
      </c>
    </row>
    <row r="2" spans="1:3" ht="16" x14ac:dyDescent="0.2">
      <c r="A2" s="1" t="s">
        <v>358</v>
      </c>
      <c r="B2" s="2" t="s">
        <v>5</v>
      </c>
      <c r="C2" s="2" t="s">
        <v>5</v>
      </c>
    </row>
    <row r="3" spans="1:3" ht="16" x14ac:dyDescent="0.2">
      <c r="A3" s="2" t="s">
        <v>687</v>
      </c>
      <c r="B3" s="5">
        <v>358</v>
      </c>
      <c r="C3" s="2" t="s">
        <v>5</v>
      </c>
    </row>
    <row r="4" spans="1:3" ht="16" x14ac:dyDescent="0.2">
      <c r="A4" s="2" t="s">
        <v>688</v>
      </c>
      <c r="B4" s="4">
        <v>317</v>
      </c>
      <c r="C4" s="2" t="s">
        <v>5</v>
      </c>
    </row>
    <row r="5" spans="1:3" ht="16" x14ac:dyDescent="0.2">
      <c r="A5" s="2" t="s">
        <v>689</v>
      </c>
      <c r="B5" s="4">
        <v>279</v>
      </c>
      <c r="C5" s="2" t="s">
        <v>5</v>
      </c>
    </row>
    <row r="6" spans="1:3" ht="16" x14ac:dyDescent="0.2">
      <c r="A6" s="2" t="s">
        <v>690</v>
      </c>
      <c r="B6" s="4">
        <v>230</v>
      </c>
      <c r="C6" s="2" t="s">
        <v>5</v>
      </c>
    </row>
    <row r="7" spans="1:3" ht="16" x14ac:dyDescent="0.2">
      <c r="A7" s="2" t="s">
        <v>691</v>
      </c>
      <c r="B7" s="4">
        <v>182</v>
      </c>
      <c r="C7" s="2" t="s">
        <v>5</v>
      </c>
    </row>
    <row r="8" spans="1:3" ht="16" x14ac:dyDescent="0.2">
      <c r="A8" s="2" t="s">
        <v>898</v>
      </c>
      <c r="B8" s="4">
        <v>1032</v>
      </c>
      <c r="C8" s="2" t="s">
        <v>5</v>
      </c>
    </row>
    <row r="9" spans="1:3" ht="16" x14ac:dyDescent="0.2">
      <c r="A9" s="2" t="s">
        <v>953</v>
      </c>
      <c r="B9" s="4">
        <v>2398</v>
      </c>
      <c r="C9" s="2" t="s">
        <v>5</v>
      </c>
    </row>
    <row r="10" spans="1:3" ht="16" x14ac:dyDescent="0.2">
      <c r="A10" s="2" t="s">
        <v>901</v>
      </c>
      <c r="B10" s="4">
        <v>-584</v>
      </c>
      <c r="C10" s="2" t="s">
        <v>5</v>
      </c>
    </row>
    <row r="11" spans="1:3" ht="16" x14ac:dyDescent="0.2">
      <c r="A11" s="2" t="s">
        <v>944</v>
      </c>
      <c r="B11" s="5">
        <v>1814</v>
      </c>
      <c r="C11" s="5">
        <v>1581</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12"/>
  <sheetViews>
    <sheetView workbookViewId="0"/>
  </sheetViews>
  <sheetFormatPr baseColWidth="10" defaultColWidth="8.83203125" defaultRowHeight="15" x14ac:dyDescent="0.2"/>
  <cols>
    <col min="1" max="1" width="80" customWidth="1"/>
    <col min="2" max="4" width="14" customWidth="1"/>
  </cols>
  <sheetData>
    <row r="1" spans="1:4" ht="32" x14ac:dyDescent="0.2">
      <c r="A1" s="11" t="s">
        <v>954</v>
      </c>
      <c r="B1" s="12" t="s">
        <v>2</v>
      </c>
      <c r="C1" s="12" t="s">
        <v>75</v>
      </c>
      <c r="D1" s="12" t="s">
        <v>76</v>
      </c>
    </row>
    <row r="2" spans="1:4" ht="16" x14ac:dyDescent="0.2">
      <c r="A2" s="1" t="s">
        <v>361</v>
      </c>
      <c r="B2" s="2" t="s">
        <v>5</v>
      </c>
      <c r="C2" s="2" t="s">
        <v>5</v>
      </c>
      <c r="D2" s="2" t="s">
        <v>5</v>
      </c>
    </row>
    <row r="3" spans="1:4" ht="16" x14ac:dyDescent="0.2">
      <c r="A3" s="2" t="s">
        <v>955</v>
      </c>
      <c r="B3" s="5">
        <v>6721</v>
      </c>
      <c r="C3" s="5">
        <v>6351</v>
      </c>
      <c r="D3" s="2" t="s">
        <v>5</v>
      </c>
    </row>
    <row r="4" spans="1:4" ht="16" x14ac:dyDescent="0.2">
      <c r="A4" s="2" t="s">
        <v>956</v>
      </c>
      <c r="B4" s="4">
        <v>1300</v>
      </c>
      <c r="C4" s="4">
        <v>1102</v>
      </c>
      <c r="D4" s="2" t="s">
        <v>5</v>
      </c>
    </row>
    <row r="5" spans="1:4" ht="16" x14ac:dyDescent="0.2">
      <c r="A5" s="2" t="s">
        <v>957</v>
      </c>
      <c r="B5" s="4">
        <v>844</v>
      </c>
      <c r="C5" s="4">
        <v>752</v>
      </c>
      <c r="D5" s="5">
        <v>605</v>
      </c>
    </row>
    <row r="6" spans="1:4" ht="16" x14ac:dyDescent="0.2">
      <c r="A6" s="2" t="s">
        <v>958</v>
      </c>
      <c r="B6" s="4">
        <v>2448</v>
      </c>
      <c r="C6" s="4">
        <v>2275</v>
      </c>
      <c r="D6" s="5">
        <v>1900</v>
      </c>
    </row>
    <row r="7" spans="1:4" ht="16" x14ac:dyDescent="0.2">
      <c r="A7" s="2" t="s">
        <v>959</v>
      </c>
      <c r="B7" s="4">
        <v>4699</v>
      </c>
      <c r="C7" s="4">
        <v>4060</v>
      </c>
      <c r="D7" s="2" t="s">
        <v>5</v>
      </c>
    </row>
    <row r="8" spans="1:4" ht="16" x14ac:dyDescent="0.2">
      <c r="A8" s="2" t="s">
        <v>960</v>
      </c>
      <c r="B8" s="4">
        <v>652</v>
      </c>
      <c r="C8" s="4">
        <v>599</v>
      </c>
      <c r="D8" s="2" t="s">
        <v>5</v>
      </c>
    </row>
    <row r="9" spans="1:4" ht="16" x14ac:dyDescent="0.2">
      <c r="A9" s="2" t="s">
        <v>942</v>
      </c>
      <c r="B9" s="4">
        <v>296</v>
      </c>
      <c r="C9" s="4">
        <v>276</v>
      </c>
      <c r="D9" s="2" t="s">
        <v>5</v>
      </c>
    </row>
    <row r="10" spans="1:4" ht="16" x14ac:dyDescent="0.2">
      <c r="A10" s="2" t="s">
        <v>961</v>
      </c>
      <c r="B10" s="4">
        <v>473</v>
      </c>
      <c r="C10" s="4">
        <v>494</v>
      </c>
      <c r="D10" s="2" t="s">
        <v>5</v>
      </c>
    </row>
    <row r="11" spans="1:4" ht="16" x14ac:dyDescent="0.2">
      <c r="A11" s="2" t="s">
        <v>216</v>
      </c>
      <c r="B11" s="4">
        <v>3571</v>
      </c>
      <c r="C11" s="4">
        <v>3808</v>
      </c>
      <c r="D11" s="2" t="s">
        <v>5</v>
      </c>
    </row>
    <row r="12" spans="1:4" ht="16" x14ac:dyDescent="0.2">
      <c r="A12" s="2" t="s">
        <v>180</v>
      </c>
      <c r="B12" s="5">
        <v>22331</v>
      </c>
      <c r="C12" s="5">
        <v>21581</v>
      </c>
      <c r="D12" s="2" t="s">
        <v>5</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I119"/>
  <sheetViews>
    <sheetView workbookViewId="0"/>
  </sheetViews>
  <sheetFormatPr baseColWidth="10" defaultColWidth="8.83203125" defaultRowHeight="15" x14ac:dyDescent="0.2"/>
  <cols>
    <col min="1" max="1" width="80" customWidth="1"/>
    <col min="2" max="2" width="31" customWidth="1"/>
    <col min="3" max="3" width="22" customWidth="1"/>
    <col min="4" max="4" width="31" customWidth="1"/>
    <col min="5" max="5" width="26" customWidth="1"/>
    <col min="6" max="6" width="35" customWidth="1"/>
    <col min="7" max="7" width="23" customWidth="1"/>
    <col min="8" max="8" width="41" customWidth="1"/>
    <col min="9" max="9" width="25" customWidth="1"/>
  </cols>
  <sheetData>
    <row r="1" spans="1:9" ht="16" x14ac:dyDescent="0.2">
      <c r="A1" s="59" t="s">
        <v>962</v>
      </c>
      <c r="B1" s="61" t="s">
        <v>396</v>
      </c>
      <c r="C1" s="60"/>
      <c r="D1" s="61" t="s">
        <v>1</v>
      </c>
      <c r="E1" s="60"/>
      <c r="F1" s="12" t="s">
        <v>963</v>
      </c>
    </row>
    <row r="2" spans="1:9" ht="16" x14ac:dyDescent="0.2">
      <c r="A2" s="60"/>
      <c r="B2" s="12" t="s">
        <v>964</v>
      </c>
      <c r="C2" s="12" t="s">
        <v>965</v>
      </c>
      <c r="D2" s="12" t="s">
        <v>964</v>
      </c>
      <c r="E2" s="12" t="s">
        <v>966</v>
      </c>
      <c r="F2" s="12" t="s">
        <v>967</v>
      </c>
      <c r="G2" s="12" t="s">
        <v>968</v>
      </c>
      <c r="H2" s="12" t="s">
        <v>969</v>
      </c>
      <c r="I2" s="12" t="s">
        <v>970</v>
      </c>
    </row>
    <row r="3" spans="1:9" ht="16" x14ac:dyDescent="0.2">
      <c r="A3" s="1" t="s">
        <v>971</v>
      </c>
      <c r="B3" s="2" t="s">
        <v>5</v>
      </c>
      <c r="C3" s="2" t="s">
        <v>5</v>
      </c>
      <c r="D3" s="2" t="s">
        <v>5</v>
      </c>
      <c r="E3" s="2" t="s">
        <v>5</v>
      </c>
      <c r="F3" s="2" t="s">
        <v>5</v>
      </c>
      <c r="G3" s="2" t="s">
        <v>5</v>
      </c>
      <c r="H3" s="2" t="s">
        <v>5</v>
      </c>
      <c r="I3" s="2" t="s">
        <v>5</v>
      </c>
    </row>
    <row r="4" spans="1:9" ht="32" x14ac:dyDescent="0.2">
      <c r="A4" s="2" t="s">
        <v>972</v>
      </c>
      <c r="B4" s="5">
        <v>1030</v>
      </c>
      <c r="C4" s="2" t="s">
        <v>5</v>
      </c>
      <c r="D4" s="5">
        <v>1030</v>
      </c>
      <c r="E4" s="5">
        <v>1058</v>
      </c>
      <c r="F4" s="2" t="s">
        <v>5</v>
      </c>
      <c r="G4" s="2" t="s">
        <v>5</v>
      </c>
      <c r="H4" s="2" t="s">
        <v>5</v>
      </c>
      <c r="I4" s="2" t="s">
        <v>5</v>
      </c>
    </row>
    <row r="5" spans="1:9" ht="16" x14ac:dyDescent="0.2">
      <c r="A5" s="2" t="s">
        <v>973</v>
      </c>
      <c r="B5" s="4">
        <v>4548</v>
      </c>
      <c r="C5" s="2" t="s">
        <v>5</v>
      </c>
      <c r="D5" s="4">
        <v>4548</v>
      </c>
      <c r="E5" s="4">
        <v>5070</v>
      </c>
      <c r="F5" s="2" t="s">
        <v>5</v>
      </c>
      <c r="G5" s="2" t="s">
        <v>5</v>
      </c>
      <c r="H5" s="2" t="s">
        <v>5</v>
      </c>
      <c r="I5" s="2" t="s">
        <v>5</v>
      </c>
    </row>
    <row r="6" spans="1:9" ht="16" x14ac:dyDescent="0.2">
      <c r="A6" s="2" t="s">
        <v>974</v>
      </c>
      <c r="B6" s="4">
        <v>360</v>
      </c>
      <c r="C6" s="2" t="s">
        <v>5</v>
      </c>
      <c r="D6" s="4">
        <v>360</v>
      </c>
      <c r="E6" s="4">
        <v>376</v>
      </c>
      <c r="F6" s="2" t="s">
        <v>5</v>
      </c>
      <c r="G6" s="2" t="s">
        <v>5</v>
      </c>
      <c r="H6" s="2" t="s">
        <v>5</v>
      </c>
      <c r="I6" s="2" t="s">
        <v>5</v>
      </c>
    </row>
    <row r="7" spans="1:9" ht="16" x14ac:dyDescent="0.2">
      <c r="A7" s="2" t="s">
        <v>975</v>
      </c>
      <c r="B7" s="4">
        <v>334</v>
      </c>
      <c r="C7" s="2" t="s">
        <v>5</v>
      </c>
      <c r="D7" s="4">
        <v>334</v>
      </c>
      <c r="E7" s="4">
        <v>346</v>
      </c>
      <c r="F7" s="2" t="s">
        <v>5</v>
      </c>
      <c r="G7" s="2" t="s">
        <v>5</v>
      </c>
      <c r="H7" s="2" t="s">
        <v>5</v>
      </c>
      <c r="I7" s="2" t="s">
        <v>5</v>
      </c>
    </row>
    <row r="8" spans="1:9" ht="16" x14ac:dyDescent="0.2">
      <c r="A8" s="2" t="s">
        <v>976</v>
      </c>
      <c r="B8" s="5">
        <v>333</v>
      </c>
      <c r="C8" s="2" t="s">
        <v>5</v>
      </c>
      <c r="D8" s="5">
        <v>333</v>
      </c>
      <c r="E8" s="4">
        <v>271</v>
      </c>
      <c r="F8" s="2" t="s">
        <v>5</v>
      </c>
      <c r="G8" s="2" t="s">
        <v>5</v>
      </c>
      <c r="H8" s="2" t="s">
        <v>5</v>
      </c>
      <c r="I8" s="2" t="s">
        <v>5</v>
      </c>
    </row>
    <row r="9" spans="1:9" ht="16" x14ac:dyDescent="0.2">
      <c r="A9" s="2" t="s">
        <v>977</v>
      </c>
      <c r="B9" s="4">
        <v>2</v>
      </c>
      <c r="C9" s="2" t="s">
        <v>5</v>
      </c>
      <c r="D9" s="4">
        <v>2</v>
      </c>
      <c r="E9" s="2" t="s">
        <v>5</v>
      </c>
      <c r="F9" s="2" t="s">
        <v>5</v>
      </c>
      <c r="G9" s="2" t="s">
        <v>5</v>
      </c>
      <c r="H9" s="2" t="s">
        <v>5</v>
      </c>
      <c r="I9" s="2" t="s">
        <v>5</v>
      </c>
    </row>
    <row r="10" spans="1:9" ht="16" x14ac:dyDescent="0.2">
      <c r="A10" s="2" t="s">
        <v>978</v>
      </c>
      <c r="B10" s="2" t="s">
        <v>5</v>
      </c>
      <c r="C10" s="2" t="s">
        <v>5</v>
      </c>
      <c r="D10" s="2" t="s">
        <v>5</v>
      </c>
      <c r="E10" s="2" t="s">
        <v>5</v>
      </c>
      <c r="F10" s="2" t="s">
        <v>5</v>
      </c>
      <c r="G10" s="2" t="s">
        <v>5</v>
      </c>
      <c r="H10" s="2" t="s">
        <v>5</v>
      </c>
      <c r="I10" s="2" t="s">
        <v>5</v>
      </c>
    </row>
    <row r="11" spans="1:9" ht="16" x14ac:dyDescent="0.2">
      <c r="A11" s="1" t="s">
        <v>971</v>
      </c>
      <c r="B11" s="2" t="s">
        <v>5</v>
      </c>
      <c r="C11" s="2" t="s">
        <v>5</v>
      </c>
      <c r="D11" s="2" t="s">
        <v>5</v>
      </c>
      <c r="E11" s="2" t="s">
        <v>5</v>
      </c>
      <c r="F11" s="2" t="s">
        <v>5</v>
      </c>
      <c r="G11" s="2" t="s">
        <v>5</v>
      </c>
      <c r="H11" s="2" t="s">
        <v>5</v>
      </c>
      <c r="I11" s="2" t="s">
        <v>5</v>
      </c>
    </row>
    <row r="12" spans="1:9" ht="16" x14ac:dyDescent="0.2">
      <c r="A12" s="2" t="s">
        <v>979</v>
      </c>
      <c r="B12" s="5">
        <v>4000</v>
      </c>
      <c r="C12" s="2" t="s">
        <v>5</v>
      </c>
      <c r="D12" s="5">
        <v>4000</v>
      </c>
      <c r="E12" s="2" t="s">
        <v>5</v>
      </c>
      <c r="F12" s="2" t="s">
        <v>5</v>
      </c>
      <c r="G12" s="2" t="s">
        <v>5</v>
      </c>
      <c r="H12" s="2" t="s">
        <v>5</v>
      </c>
      <c r="I12" s="2" t="s">
        <v>5</v>
      </c>
    </row>
    <row r="13" spans="1:9" ht="16" x14ac:dyDescent="0.2">
      <c r="A13" s="2" t="s">
        <v>980</v>
      </c>
      <c r="B13" s="4">
        <v>-482</v>
      </c>
      <c r="C13" s="2" t="s">
        <v>5</v>
      </c>
      <c r="D13" s="2" t="s">
        <v>5</v>
      </c>
      <c r="E13" s="4">
        <v>-1452</v>
      </c>
      <c r="F13" s="2" t="s">
        <v>5</v>
      </c>
      <c r="G13" s="2" t="s">
        <v>5</v>
      </c>
      <c r="H13" s="2" t="s">
        <v>5</v>
      </c>
      <c r="I13" s="2" t="s">
        <v>5</v>
      </c>
    </row>
    <row r="14" spans="1:9" ht="16" x14ac:dyDescent="0.2">
      <c r="A14" s="2" t="s">
        <v>981</v>
      </c>
      <c r="B14" s="2" t="s">
        <v>5</v>
      </c>
      <c r="C14" s="2" t="s">
        <v>5</v>
      </c>
      <c r="D14" s="2" t="s">
        <v>5</v>
      </c>
      <c r="E14" s="2" t="s">
        <v>5</v>
      </c>
      <c r="F14" s="2" t="s">
        <v>5</v>
      </c>
      <c r="G14" s="2" t="s">
        <v>5</v>
      </c>
      <c r="H14" s="2" t="s">
        <v>5</v>
      </c>
      <c r="I14" s="2" t="s">
        <v>5</v>
      </c>
    </row>
    <row r="15" spans="1:9" ht="16" x14ac:dyDescent="0.2">
      <c r="A15" s="1" t="s">
        <v>971</v>
      </c>
      <c r="B15" s="2" t="s">
        <v>5</v>
      </c>
      <c r="C15" s="2" t="s">
        <v>5</v>
      </c>
      <c r="D15" s="2" t="s">
        <v>5</v>
      </c>
      <c r="E15" s="2" t="s">
        <v>5</v>
      </c>
      <c r="F15" s="2" t="s">
        <v>5</v>
      </c>
      <c r="G15" s="2" t="s">
        <v>5</v>
      </c>
      <c r="H15" s="2" t="s">
        <v>5</v>
      </c>
      <c r="I15" s="2" t="s">
        <v>5</v>
      </c>
    </row>
    <row r="16" spans="1:9" ht="16" x14ac:dyDescent="0.2">
      <c r="A16" s="2" t="s">
        <v>979</v>
      </c>
      <c r="B16" s="5">
        <v>27000</v>
      </c>
      <c r="C16" s="2" t="s">
        <v>5</v>
      </c>
      <c r="D16" s="4">
        <v>27000</v>
      </c>
      <c r="E16" s="2" t="s">
        <v>5</v>
      </c>
      <c r="F16" s="2" t="s">
        <v>5</v>
      </c>
      <c r="G16" s="2" t="s">
        <v>5</v>
      </c>
      <c r="H16" s="2" t="s">
        <v>5</v>
      </c>
      <c r="I16" s="2" t="s">
        <v>5</v>
      </c>
    </row>
    <row r="17" spans="1:9" ht="16" x14ac:dyDescent="0.2">
      <c r="A17" s="2" t="s">
        <v>982</v>
      </c>
      <c r="B17" s="2" t="s">
        <v>5</v>
      </c>
      <c r="C17" s="2" t="s">
        <v>5</v>
      </c>
      <c r="D17" s="2" t="s">
        <v>5</v>
      </c>
      <c r="E17" s="2" t="s">
        <v>5</v>
      </c>
      <c r="F17" s="2" t="s">
        <v>5</v>
      </c>
      <c r="G17" s="2" t="s">
        <v>5</v>
      </c>
      <c r="H17" s="2" t="s">
        <v>5</v>
      </c>
      <c r="I17" s="4">
        <v>13</v>
      </c>
    </row>
    <row r="18" spans="1:9" ht="16" x14ac:dyDescent="0.2">
      <c r="A18" s="2" t="s">
        <v>980</v>
      </c>
      <c r="B18" s="2" t="s">
        <v>5</v>
      </c>
      <c r="C18" s="2" t="s">
        <v>5</v>
      </c>
      <c r="D18" s="5">
        <v>-309</v>
      </c>
      <c r="E18" s="4">
        <v>-1374</v>
      </c>
      <c r="F18" s="2" t="s">
        <v>5</v>
      </c>
      <c r="G18" s="2" t="s">
        <v>5</v>
      </c>
      <c r="H18" s="2" t="s">
        <v>5</v>
      </c>
      <c r="I18" s="2" t="s">
        <v>5</v>
      </c>
    </row>
    <row r="19" spans="1:9" ht="16" x14ac:dyDescent="0.2">
      <c r="A19" s="2" t="s">
        <v>983</v>
      </c>
      <c r="B19" s="2" t="s">
        <v>5</v>
      </c>
      <c r="C19" s="2" t="s">
        <v>5</v>
      </c>
      <c r="D19" s="2" t="s">
        <v>5</v>
      </c>
      <c r="E19" s="2" t="s">
        <v>5</v>
      </c>
      <c r="F19" s="2" t="s">
        <v>5</v>
      </c>
      <c r="G19" s="2" t="s">
        <v>5</v>
      </c>
      <c r="H19" s="2" t="s">
        <v>5</v>
      </c>
      <c r="I19" s="4">
        <v>4</v>
      </c>
    </row>
    <row r="20" spans="1:9" ht="16" x14ac:dyDescent="0.2">
      <c r="A20" s="2" t="s">
        <v>984</v>
      </c>
      <c r="B20" s="4">
        <v>179</v>
      </c>
      <c r="C20" s="2" t="s">
        <v>5</v>
      </c>
      <c r="D20" s="4">
        <v>179</v>
      </c>
      <c r="E20" s="2" t="s">
        <v>5</v>
      </c>
      <c r="F20" s="4">
        <v>139</v>
      </c>
      <c r="G20" s="2" t="s">
        <v>5</v>
      </c>
      <c r="H20" s="2" t="s">
        <v>5</v>
      </c>
      <c r="I20" s="2" t="s">
        <v>5</v>
      </c>
    </row>
    <row r="21" spans="1:9" ht="16" x14ac:dyDescent="0.2">
      <c r="A21" s="2" t="s">
        <v>985</v>
      </c>
      <c r="B21" s="2" t="s">
        <v>5</v>
      </c>
      <c r="C21" s="2" t="s">
        <v>5</v>
      </c>
      <c r="D21" s="2" t="s">
        <v>5</v>
      </c>
      <c r="E21" s="2" t="s">
        <v>5</v>
      </c>
      <c r="F21" s="4">
        <v>10</v>
      </c>
      <c r="G21" s="2" t="s">
        <v>5</v>
      </c>
      <c r="H21" s="2" t="s">
        <v>5</v>
      </c>
      <c r="I21" s="2" t="s">
        <v>5</v>
      </c>
    </row>
    <row r="22" spans="1:9" ht="16" x14ac:dyDescent="0.2">
      <c r="A22" s="2" t="s">
        <v>986</v>
      </c>
      <c r="B22" s="2" t="s">
        <v>5</v>
      </c>
      <c r="C22" s="2" t="s">
        <v>5</v>
      </c>
      <c r="D22" s="2" t="s">
        <v>5</v>
      </c>
      <c r="E22" s="2" t="s">
        <v>5</v>
      </c>
      <c r="F22" s="2" t="s">
        <v>5</v>
      </c>
      <c r="G22" s="2" t="s">
        <v>5</v>
      </c>
      <c r="H22" s="2" t="s">
        <v>5</v>
      </c>
      <c r="I22" s="2" t="s">
        <v>5</v>
      </c>
    </row>
    <row r="23" spans="1:9" ht="16" x14ac:dyDescent="0.2">
      <c r="A23" s="1" t="s">
        <v>971</v>
      </c>
      <c r="B23" s="2" t="s">
        <v>5</v>
      </c>
      <c r="C23" s="2" t="s">
        <v>5</v>
      </c>
      <c r="D23" s="2" t="s">
        <v>5</v>
      </c>
      <c r="E23" s="2" t="s">
        <v>5</v>
      </c>
      <c r="F23" s="2" t="s">
        <v>5</v>
      </c>
      <c r="G23" s="2" t="s">
        <v>5</v>
      </c>
      <c r="H23" s="2" t="s">
        <v>5</v>
      </c>
      <c r="I23" s="2" t="s">
        <v>5</v>
      </c>
    </row>
    <row r="24" spans="1:9" ht="16" x14ac:dyDescent="0.2">
      <c r="A24" s="2" t="s">
        <v>812</v>
      </c>
      <c r="B24" s="5">
        <v>125</v>
      </c>
      <c r="C24" s="2" t="s">
        <v>5</v>
      </c>
      <c r="D24" s="5">
        <v>125</v>
      </c>
      <c r="E24" s="2" t="s">
        <v>5</v>
      </c>
      <c r="F24" s="2" t="s">
        <v>5</v>
      </c>
      <c r="G24" s="2" t="s">
        <v>5</v>
      </c>
      <c r="H24" s="2" t="s">
        <v>5</v>
      </c>
      <c r="I24" s="2" t="s">
        <v>5</v>
      </c>
    </row>
    <row r="25" spans="1:9" ht="16" x14ac:dyDescent="0.2">
      <c r="A25" s="2" t="s">
        <v>987</v>
      </c>
      <c r="B25" s="2" t="s">
        <v>5</v>
      </c>
      <c r="C25" s="2" t="s">
        <v>5</v>
      </c>
      <c r="D25" s="2" t="s">
        <v>5</v>
      </c>
      <c r="E25" s="2" t="s">
        <v>5</v>
      </c>
      <c r="F25" s="2" t="s">
        <v>5</v>
      </c>
      <c r="G25" s="2" t="s">
        <v>5</v>
      </c>
      <c r="H25" s="2" t="s">
        <v>5</v>
      </c>
      <c r="I25" s="2" t="s">
        <v>5</v>
      </c>
    </row>
    <row r="26" spans="1:9" ht="16" x14ac:dyDescent="0.2">
      <c r="A26" s="1" t="s">
        <v>971</v>
      </c>
      <c r="B26" s="2" t="s">
        <v>5</v>
      </c>
      <c r="C26" s="2" t="s">
        <v>5</v>
      </c>
      <c r="D26" s="2" t="s">
        <v>5</v>
      </c>
      <c r="E26" s="2" t="s">
        <v>5</v>
      </c>
      <c r="F26" s="2" t="s">
        <v>5</v>
      </c>
      <c r="G26" s="2" t="s">
        <v>5</v>
      </c>
      <c r="H26" s="2" t="s">
        <v>5</v>
      </c>
      <c r="I26" s="2" t="s">
        <v>5</v>
      </c>
    </row>
    <row r="27" spans="1:9" ht="16" x14ac:dyDescent="0.2">
      <c r="A27" s="2" t="s">
        <v>812</v>
      </c>
      <c r="B27" s="4">
        <v>48</v>
      </c>
      <c r="C27" s="2" t="s">
        <v>5</v>
      </c>
      <c r="D27" s="4">
        <v>48</v>
      </c>
      <c r="E27" s="2" t="s">
        <v>5</v>
      </c>
      <c r="F27" s="2" t="s">
        <v>5</v>
      </c>
      <c r="G27" s="2" t="s">
        <v>5</v>
      </c>
      <c r="H27" s="2" t="s">
        <v>5</v>
      </c>
      <c r="I27" s="2" t="s">
        <v>5</v>
      </c>
    </row>
    <row r="28" spans="1:9" ht="16" x14ac:dyDescent="0.2">
      <c r="A28" s="2" t="s">
        <v>988</v>
      </c>
      <c r="B28" s="2" t="s">
        <v>5</v>
      </c>
      <c r="C28" s="2" t="s">
        <v>5</v>
      </c>
      <c r="D28" s="2" t="s">
        <v>5</v>
      </c>
      <c r="E28" s="2" t="s">
        <v>5</v>
      </c>
      <c r="F28" s="2" t="s">
        <v>5</v>
      </c>
      <c r="G28" s="2" t="s">
        <v>5</v>
      </c>
      <c r="H28" s="2" t="s">
        <v>5</v>
      </c>
      <c r="I28" s="2" t="s">
        <v>5</v>
      </c>
    </row>
    <row r="29" spans="1:9" ht="16" x14ac:dyDescent="0.2">
      <c r="A29" s="1" t="s">
        <v>971</v>
      </c>
      <c r="B29" s="2" t="s">
        <v>5</v>
      </c>
      <c r="C29" s="2" t="s">
        <v>5</v>
      </c>
      <c r="D29" s="2" t="s">
        <v>5</v>
      </c>
      <c r="E29" s="2" t="s">
        <v>5</v>
      </c>
      <c r="F29" s="2" t="s">
        <v>5</v>
      </c>
      <c r="G29" s="2" t="s">
        <v>5</v>
      </c>
      <c r="H29" s="2" t="s">
        <v>5</v>
      </c>
      <c r="I29" s="2" t="s">
        <v>5</v>
      </c>
    </row>
    <row r="30" spans="1:9" ht="16" x14ac:dyDescent="0.2">
      <c r="A30" s="2" t="s">
        <v>979</v>
      </c>
      <c r="B30" s="2" t="s">
        <v>5</v>
      </c>
      <c r="C30" s="5">
        <v>890</v>
      </c>
      <c r="D30" s="2" t="s">
        <v>5</v>
      </c>
      <c r="E30" s="2" t="s">
        <v>5</v>
      </c>
      <c r="F30" s="2" t="s">
        <v>5</v>
      </c>
      <c r="G30" s="2" t="s">
        <v>5</v>
      </c>
      <c r="H30" s="2" t="s">
        <v>5</v>
      </c>
      <c r="I30" s="2" t="s">
        <v>5</v>
      </c>
    </row>
    <row r="31" spans="1:9" ht="16" x14ac:dyDescent="0.2">
      <c r="A31" s="2" t="s">
        <v>980</v>
      </c>
      <c r="B31" s="2" t="s">
        <v>5</v>
      </c>
      <c r="C31" s="5">
        <v>291</v>
      </c>
      <c r="D31" s="4">
        <v>-231</v>
      </c>
      <c r="E31" s="4">
        <v>-579</v>
      </c>
      <c r="F31" s="2" t="s">
        <v>5</v>
      </c>
      <c r="G31" s="2" t="s">
        <v>5</v>
      </c>
      <c r="H31" s="2" t="s">
        <v>5</v>
      </c>
      <c r="I31" s="2" t="s">
        <v>5</v>
      </c>
    </row>
    <row r="32" spans="1:9" ht="16" x14ac:dyDescent="0.2">
      <c r="A32" s="2" t="s">
        <v>984</v>
      </c>
      <c r="B32" s="2" t="s">
        <v>5</v>
      </c>
      <c r="C32" s="2" t="s">
        <v>5</v>
      </c>
      <c r="D32" s="2" t="s">
        <v>5</v>
      </c>
      <c r="E32" s="2" t="s">
        <v>5</v>
      </c>
      <c r="F32" s="2" t="s">
        <v>5</v>
      </c>
      <c r="G32" s="4">
        <v>7</v>
      </c>
      <c r="H32" s="2" t="s">
        <v>5</v>
      </c>
      <c r="I32" s="2" t="s">
        <v>5</v>
      </c>
    </row>
    <row r="33" spans="1:9" ht="16" x14ac:dyDescent="0.2">
      <c r="A33" s="2" t="s">
        <v>989</v>
      </c>
      <c r="B33" s="2" t="s">
        <v>5</v>
      </c>
      <c r="C33" s="2" t="s">
        <v>5</v>
      </c>
      <c r="D33" s="2" t="s">
        <v>5</v>
      </c>
      <c r="E33" s="2" t="s">
        <v>5</v>
      </c>
      <c r="F33" s="2" t="s">
        <v>5</v>
      </c>
      <c r="G33" s="2" t="s">
        <v>5</v>
      </c>
      <c r="H33" s="2" t="s">
        <v>5</v>
      </c>
      <c r="I33" s="2" t="s">
        <v>5</v>
      </c>
    </row>
    <row r="34" spans="1:9" ht="16" x14ac:dyDescent="0.2">
      <c r="A34" s="1" t="s">
        <v>971</v>
      </c>
      <c r="B34" s="2" t="s">
        <v>5</v>
      </c>
      <c r="C34" s="2" t="s">
        <v>5</v>
      </c>
      <c r="D34" s="2" t="s">
        <v>5</v>
      </c>
      <c r="E34" s="2" t="s">
        <v>5</v>
      </c>
      <c r="F34" s="2" t="s">
        <v>5</v>
      </c>
      <c r="G34" s="2" t="s">
        <v>5</v>
      </c>
      <c r="H34" s="2" t="s">
        <v>5</v>
      </c>
      <c r="I34" s="2" t="s">
        <v>5</v>
      </c>
    </row>
    <row r="35" spans="1:9" ht="16" x14ac:dyDescent="0.2">
      <c r="A35" s="2" t="s">
        <v>979</v>
      </c>
      <c r="B35" s="2" t="s">
        <v>5</v>
      </c>
      <c r="C35" s="2" t="s">
        <v>5</v>
      </c>
      <c r="D35" s="2" t="s">
        <v>5</v>
      </c>
      <c r="E35" s="2" t="s">
        <v>5</v>
      </c>
      <c r="F35" s="2" t="s">
        <v>5</v>
      </c>
      <c r="G35" s="2" t="s">
        <v>5</v>
      </c>
      <c r="H35" s="5">
        <v>860</v>
      </c>
      <c r="I35" s="2" t="s">
        <v>5</v>
      </c>
    </row>
    <row r="36" spans="1:9" ht="16" x14ac:dyDescent="0.2">
      <c r="A36" s="2" t="s">
        <v>980</v>
      </c>
      <c r="B36" s="2" t="s">
        <v>5</v>
      </c>
      <c r="C36" s="2" t="s">
        <v>5</v>
      </c>
      <c r="D36" s="2" t="s">
        <v>5</v>
      </c>
      <c r="E36" s="5">
        <v>-203</v>
      </c>
      <c r="F36" s="2" t="s">
        <v>5</v>
      </c>
      <c r="G36" s="2" t="s">
        <v>5</v>
      </c>
      <c r="H36" s="2" t="s">
        <v>5</v>
      </c>
      <c r="I36" s="2" t="s">
        <v>5</v>
      </c>
    </row>
    <row r="37" spans="1:9" ht="16" x14ac:dyDescent="0.2">
      <c r="A37" s="2" t="s">
        <v>984</v>
      </c>
      <c r="B37" s="2" t="s">
        <v>5</v>
      </c>
      <c r="C37" s="2" t="s">
        <v>5</v>
      </c>
      <c r="D37" s="2" t="s">
        <v>5</v>
      </c>
      <c r="E37" s="2" t="s">
        <v>5</v>
      </c>
      <c r="F37" s="2" t="s">
        <v>5</v>
      </c>
      <c r="G37" s="2" t="s">
        <v>5</v>
      </c>
      <c r="H37" s="4">
        <v>5</v>
      </c>
      <c r="I37" s="2" t="s">
        <v>5</v>
      </c>
    </row>
    <row r="38" spans="1:9" ht="16" x14ac:dyDescent="0.2">
      <c r="A38" s="2" t="s">
        <v>990</v>
      </c>
      <c r="B38" s="2" t="s">
        <v>5</v>
      </c>
      <c r="C38" s="2" t="s">
        <v>5</v>
      </c>
      <c r="D38" s="2" t="s">
        <v>5</v>
      </c>
      <c r="E38" s="2" t="s">
        <v>5</v>
      </c>
      <c r="F38" s="2" t="s">
        <v>5</v>
      </c>
      <c r="G38" s="2" t="s">
        <v>5</v>
      </c>
      <c r="H38" s="4">
        <v>7</v>
      </c>
      <c r="I38" s="2" t="s">
        <v>5</v>
      </c>
    </row>
    <row r="39" spans="1:9" ht="16" x14ac:dyDescent="0.2">
      <c r="A39" s="2" t="s">
        <v>991</v>
      </c>
      <c r="B39" s="2" t="s">
        <v>5</v>
      </c>
      <c r="C39" s="2" t="s">
        <v>5</v>
      </c>
      <c r="D39" s="2" t="s">
        <v>5</v>
      </c>
      <c r="E39" s="2" t="s">
        <v>5</v>
      </c>
      <c r="F39" s="2" t="s">
        <v>5</v>
      </c>
      <c r="G39" s="2" t="s">
        <v>5</v>
      </c>
      <c r="H39" s="2" t="s">
        <v>5</v>
      </c>
      <c r="I39" s="2" t="s">
        <v>5</v>
      </c>
    </row>
    <row r="40" spans="1:9" ht="16" x14ac:dyDescent="0.2">
      <c r="A40" s="1" t="s">
        <v>971</v>
      </c>
      <c r="B40" s="2" t="s">
        <v>5</v>
      </c>
      <c r="C40" s="2" t="s">
        <v>5</v>
      </c>
      <c r="D40" s="2" t="s">
        <v>5</v>
      </c>
      <c r="E40" s="2" t="s">
        <v>5</v>
      </c>
      <c r="F40" s="2" t="s">
        <v>5</v>
      </c>
      <c r="G40" s="2" t="s">
        <v>5</v>
      </c>
      <c r="H40" s="2" t="s">
        <v>5</v>
      </c>
      <c r="I40" s="2" t="s">
        <v>5</v>
      </c>
    </row>
    <row r="41" spans="1:9" ht="16" x14ac:dyDescent="0.2">
      <c r="A41" s="2" t="s">
        <v>982</v>
      </c>
      <c r="B41" s="2" t="s">
        <v>5</v>
      </c>
      <c r="C41" s="2" t="s">
        <v>5</v>
      </c>
      <c r="D41" s="2" t="s">
        <v>5</v>
      </c>
      <c r="E41" s="4">
        <v>11</v>
      </c>
      <c r="F41" s="2" t="s">
        <v>5</v>
      </c>
      <c r="G41" s="2" t="s">
        <v>5</v>
      </c>
      <c r="H41" s="2" t="s">
        <v>5</v>
      </c>
      <c r="I41" s="2" t="s">
        <v>5</v>
      </c>
    </row>
    <row r="42" spans="1:9" ht="16" x14ac:dyDescent="0.2">
      <c r="A42" s="2" t="s">
        <v>980</v>
      </c>
      <c r="B42" s="2" t="s">
        <v>5</v>
      </c>
      <c r="C42" s="2" t="s">
        <v>5</v>
      </c>
      <c r="D42" s="4">
        <v>-275</v>
      </c>
      <c r="E42" s="5">
        <v>-552</v>
      </c>
      <c r="F42" s="2" t="s">
        <v>5</v>
      </c>
      <c r="G42" s="2" t="s">
        <v>5</v>
      </c>
      <c r="H42" s="2" t="s">
        <v>5</v>
      </c>
      <c r="I42" s="2" t="s">
        <v>5</v>
      </c>
    </row>
    <row r="43" spans="1:9" ht="16" x14ac:dyDescent="0.2">
      <c r="A43" s="2" t="s">
        <v>992</v>
      </c>
      <c r="B43" s="2" t="s">
        <v>5</v>
      </c>
      <c r="C43" s="2" t="s">
        <v>5</v>
      </c>
      <c r="D43" s="2" t="s">
        <v>5</v>
      </c>
      <c r="E43" s="2" t="s">
        <v>5</v>
      </c>
      <c r="F43" s="2" t="s">
        <v>5</v>
      </c>
      <c r="G43" s="2" t="s">
        <v>5</v>
      </c>
      <c r="H43" s="2" t="s">
        <v>5</v>
      </c>
      <c r="I43" s="2" t="s">
        <v>5</v>
      </c>
    </row>
    <row r="44" spans="1:9" ht="16" x14ac:dyDescent="0.2">
      <c r="A44" s="1" t="s">
        <v>971</v>
      </c>
      <c r="B44" s="2" t="s">
        <v>5</v>
      </c>
      <c r="C44" s="2" t="s">
        <v>5</v>
      </c>
      <c r="D44" s="2" t="s">
        <v>5</v>
      </c>
      <c r="E44" s="2" t="s">
        <v>5</v>
      </c>
      <c r="F44" s="2" t="s">
        <v>5</v>
      </c>
      <c r="G44" s="2" t="s">
        <v>5</v>
      </c>
      <c r="H44" s="2" t="s">
        <v>5</v>
      </c>
      <c r="I44" s="2" t="s">
        <v>5</v>
      </c>
    </row>
    <row r="45" spans="1:9" ht="16" x14ac:dyDescent="0.2">
      <c r="A45" s="2" t="s">
        <v>812</v>
      </c>
      <c r="B45" s="4">
        <v>185</v>
      </c>
      <c r="C45" s="2" t="s">
        <v>5</v>
      </c>
      <c r="D45" s="4">
        <v>185</v>
      </c>
      <c r="E45" s="2" t="s">
        <v>5</v>
      </c>
      <c r="F45" s="2" t="s">
        <v>5</v>
      </c>
      <c r="G45" s="2" t="s">
        <v>5</v>
      </c>
      <c r="H45" s="2" t="s">
        <v>5</v>
      </c>
      <c r="I45" s="2" t="s">
        <v>5</v>
      </c>
    </row>
    <row r="46" spans="1:9" ht="16" x14ac:dyDescent="0.2">
      <c r="A46" s="2" t="s">
        <v>993</v>
      </c>
      <c r="B46" s="2" t="s">
        <v>5</v>
      </c>
      <c r="C46" s="2" t="s">
        <v>5</v>
      </c>
      <c r="D46" s="2" t="s">
        <v>5</v>
      </c>
      <c r="E46" s="2" t="s">
        <v>5</v>
      </c>
      <c r="F46" s="2" t="s">
        <v>5</v>
      </c>
      <c r="G46" s="2" t="s">
        <v>5</v>
      </c>
      <c r="H46" s="2" t="s">
        <v>5</v>
      </c>
      <c r="I46" s="2" t="s">
        <v>5</v>
      </c>
    </row>
    <row r="47" spans="1:9" ht="16" x14ac:dyDescent="0.2">
      <c r="A47" s="1" t="s">
        <v>971</v>
      </c>
      <c r="B47" s="2" t="s">
        <v>5</v>
      </c>
      <c r="C47" s="2" t="s">
        <v>5</v>
      </c>
      <c r="D47" s="2" t="s">
        <v>5</v>
      </c>
      <c r="E47" s="2" t="s">
        <v>5</v>
      </c>
      <c r="F47" s="2" t="s">
        <v>5</v>
      </c>
      <c r="G47" s="2" t="s">
        <v>5</v>
      </c>
      <c r="H47" s="2" t="s">
        <v>5</v>
      </c>
      <c r="I47" s="2" t="s">
        <v>5</v>
      </c>
    </row>
    <row r="48" spans="1:9" ht="16" x14ac:dyDescent="0.2">
      <c r="A48" s="2" t="s">
        <v>812</v>
      </c>
      <c r="B48" s="4">
        <v>249</v>
      </c>
      <c r="C48" s="2" t="s">
        <v>5</v>
      </c>
      <c r="D48" s="4">
        <v>249</v>
      </c>
      <c r="E48" s="2" t="s">
        <v>5</v>
      </c>
      <c r="F48" s="2" t="s">
        <v>5</v>
      </c>
      <c r="G48" s="2" t="s">
        <v>5</v>
      </c>
      <c r="H48" s="2" t="s">
        <v>5</v>
      </c>
      <c r="I48" s="2" t="s">
        <v>5</v>
      </c>
    </row>
    <row r="49" spans="1:9" ht="16" x14ac:dyDescent="0.2">
      <c r="A49" s="2" t="s">
        <v>994</v>
      </c>
      <c r="B49" s="2" t="s">
        <v>5</v>
      </c>
      <c r="C49" s="2" t="s">
        <v>5</v>
      </c>
      <c r="D49" s="2" t="s">
        <v>5</v>
      </c>
      <c r="E49" s="2" t="s">
        <v>5</v>
      </c>
      <c r="F49" s="2" t="s">
        <v>5</v>
      </c>
      <c r="G49" s="2" t="s">
        <v>5</v>
      </c>
      <c r="H49" s="2" t="s">
        <v>5</v>
      </c>
      <c r="I49" s="2" t="s">
        <v>5</v>
      </c>
    </row>
    <row r="50" spans="1:9" ht="16" x14ac:dyDescent="0.2">
      <c r="A50" s="1" t="s">
        <v>971</v>
      </c>
      <c r="B50" s="2" t="s">
        <v>5</v>
      </c>
      <c r="C50" s="2" t="s">
        <v>5</v>
      </c>
      <c r="D50" s="2" t="s">
        <v>5</v>
      </c>
      <c r="E50" s="2" t="s">
        <v>5</v>
      </c>
      <c r="F50" s="2" t="s">
        <v>5</v>
      </c>
      <c r="G50" s="2" t="s">
        <v>5</v>
      </c>
      <c r="H50" s="2" t="s">
        <v>5</v>
      </c>
      <c r="I50" s="2" t="s">
        <v>5</v>
      </c>
    </row>
    <row r="51" spans="1:9" ht="16" x14ac:dyDescent="0.2">
      <c r="A51" s="2" t="s">
        <v>980</v>
      </c>
      <c r="B51" s="2" t="s">
        <v>5</v>
      </c>
      <c r="C51" s="2" t="s">
        <v>5</v>
      </c>
      <c r="D51" s="4">
        <v>-288</v>
      </c>
      <c r="E51" s="4">
        <v>-288</v>
      </c>
      <c r="F51" s="2" t="s">
        <v>5</v>
      </c>
      <c r="G51" s="2" t="s">
        <v>5</v>
      </c>
      <c r="H51" s="2" t="s">
        <v>5</v>
      </c>
      <c r="I51" s="2" t="s">
        <v>5</v>
      </c>
    </row>
    <row r="52" spans="1:9" ht="16" x14ac:dyDescent="0.2">
      <c r="A52" s="2" t="s">
        <v>995</v>
      </c>
      <c r="B52" s="2" t="s">
        <v>5</v>
      </c>
      <c r="C52" s="2" t="s">
        <v>5</v>
      </c>
      <c r="D52" s="2" t="s">
        <v>5</v>
      </c>
      <c r="E52" s="2" t="s">
        <v>5</v>
      </c>
      <c r="F52" s="2" t="s">
        <v>5</v>
      </c>
      <c r="G52" s="2" t="s">
        <v>5</v>
      </c>
      <c r="H52" s="2" t="s">
        <v>5</v>
      </c>
      <c r="I52" s="2" t="s">
        <v>5</v>
      </c>
    </row>
    <row r="53" spans="1:9" ht="16" x14ac:dyDescent="0.2">
      <c r="A53" s="1" t="s">
        <v>971</v>
      </c>
      <c r="B53" s="2" t="s">
        <v>5</v>
      </c>
      <c r="C53" s="2" t="s">
        <v>5</v>
      </c>
      <c r="D53" s="2" t="s">
        <v>5</v>
      </c>
      <c r="E53" s="2" t="s">
        <v>5</v>
      </c>
      <c r="F53" s="2" t="s">
        <v>5</v>
      </c>
      <c r="G53" s="2" t="s">
        <v>5</v>
      </c>
      <c r="H53" s="2" t="s">
        <v>5</v>
      </c>
      <c r="I53" s="2" t="s">
        <v>5</v>
      </c>
    </row>
    <row r="54" spans="1:9" ht="16" x14ac:dyDescent="0.2">
      <c r="A54" s="2" t="s">
        <v>812</v>
      </c>
      <c r="B54" s="4">
        <v>226</v>
      </c>
      <c r="C54" s="2" t="s">
        <v>5</v>
      </c>
      <c r="D54" s="4">
        <v>226</v>
      </c>
      <c r="E54" s="2" t="s">
        <v>5</v>
      </c>
      <c r="F54" s="2" t="s">
        <v>5</v>
      </c>
      <c r="G54" s="2" t="s">
        <v>5</v>
      </c>
      <c r="H54" s="2" t="s">
        <v>5</v>
      </c>
      <c r="I54" s="2" t="s">
        <v>5</v>
      </c>
    </row>
    <row r="55" spans="1:9" ht="16" x14ac:dyDescent="0.2">
      <c r="A55" s="2" t="s">
        <v>996</v>
      </c>
      <c r="B55" s="2" t="s">
        <v>5</v>
      </c>
      <c r="C55" s="2" t="s">
        <v>5</v>
      </c>
      <c r="D55" s="2" t="s">
        <v>5</v>
      </c>
      <c r="E55" s="2" t="s">
        <v>5</v>
      </c>
      <c r="F55" s="2" t="s">
        <v>5</v>
      </c>
      <c r="G55" s="2" t="s">
        <v>5</v>
      </c>
      <c r="H55" s="2" t="s">
        <v>5</v>
      </c>
      <c r="I55" s="2" t="s">
        <v>5</v>
      </c>
    </row>
    <row r="56" spans="1:9" ht="16" x14ac:dyDescent="0.2">
      <c r="A56" s="1" t="s">
        <v>971</v>
      </c>
      <c r="B56" s="2" t="s">
        <v>5</v>
      </c>
      <c r="C56" s="2" t="s">
        <v>5</v>
      </c>
      <c r="D56" s="2" t="s">
        <v>5</v>
      </c>
      <c r="E56" s="2" t="s">
        <v>5</v>
      </c>
      <c r="F56" s="2" t="s">
        <v>5</v>
      </c>
      <c r="G56" s="2" t="s">
        <v>5</v>
      </c>
      <c r="H56" s="2" t="s">
        <v>5</v>
      </c>
      <c r="I56" s="2" t="s">
        <v>5</v>
      </c>
    </row>
    <row r="57" spans="1:9" ht="16" x14ac:dyDescent="0.2">
      <c r="A57" s="2" t="s">
        <v>812</v>
      </c>
      <c r="B57" s="4">
        <v>160</v>
      </c>
      <c r="C57" s="2" t="s">
        <v>5</v>
      </c>
      <c r="D57" s="4">
        <v>160</v>
      </c>
      <c r="E57" s="2" t="s">
        <v>5</v>
      </c>
      <c r="F57" s="2" t="s">
        <v>5</v>
      </c>
      <c r="G57" s="2" t="s">
        <v>5</v>
      </c>
      <c r="H57" s="2" t="s">
        <v>5</v>
      </c>
      <c r="I57" s="2" t="s">
        <v>5</v>
      </c>
    </row>
    <row r="58" spans="1:9" ht="16" x14ac:dyDescent="0.2">
      <c r="A58" s="2" t="s">
        <v>997</v>
      </c>
      <c r="B58" s="2" t="s">
        <v>5</v>
      </c>
      <c r="C58" s="2" t="s">
        <v>5</v>
      </c>
      <c r="D58" s="2" t="s">
        <v>5</v>
      </c>
      <c r="E58" s="2" t="s">
        <v>5</v>
      </c>
      <c r="F58" s="2" t="s">
        <v>5</v>
      </c>
      <c r="G58" s="2" t="s">
        <v>5</v>
      </c>
      <c r="H58" s="2" t="s">
        <v>5</v>
      </c>
      <c r="I58" s="2" t="s">
        <v>5</v>
      </c>
    </row>
    <row r="59" spans="1:9" ht="16" x14ac:dyDescent="0.2">
      <c r="A59" s="1" t="s">
        <v>971</v>
      </c>
      <c r="B59" s="2" t="s">
        <v>5</v>
      </c>
      <c r="C59" s="2" t="s">
        <v>5</v>
      </c>
      <c r="D59" s="2" t="s">
        <v>5</v>
      </c>
      <c r="E59" s="2" t="s">
        <v>5</v>
      </c>
      <c r="F59" s="2" t="s">
        <v>5</v>
      </c>
      <c r="G59" s="2" t="s">
        <v>5</v>
      </c>
      <c r="H59" s="2" t="s">
        <v>5</v>
      </c>
      <c r="I59" s="2" t="s">
        <v>5</v>
      </c>
    </row>
    <row r="60" spans="1:9" ht="16" x14ac:dyDescent="0.2">
      <c r="A60" s="2" t="s">
        <v>998</v>
      </c>
      <c r="B60" s="2" t="s">
        <v>5</v>
      </c>
      <c r="C60" s="2" t="s">
        <v>5</v>
      </c>
      <c r="D60" s="2" t="s">
        <v>5</v>
      </c>
      <c r="E60" s="2" t="s">
        <v>5</v>
      </c>
      <c r="F60" s="5">
        <v>346</v>
      </c>
      <c r="G60" s="2" t="s">
        <v>5</v>
      </c>
      <c r="H60" s="2" t="s">
        <v>5</v>
      </c>
      <c r="I60" s="2" t="s">
        <v>5</v>
      </c>
    </row>
    <row r="61" spans="1:9" ht="16" x14ac:dyDescent="0.2">
      <c r="A61" s="2" t="s">
        <v>999</v>
      </c>
      <c r="B61" s="2" t="s">
        <v>5</v>
      </c>
      <c r="C61" s="2" t="s">
        <v>5</v>
      </c>
      <c r="D61" s="4">
        <v>10</v>
      </c>
      <c r="E61" s="4">
        <v>11</v>
      </c>
      <c r="F61" s="2" t="s">
        <v>5</v>
      </c>
      <c r="G61" s="2" t="s">
        <v>5</v>
      </c>
      <c r="H61" s="2" t="s">
        <v>5</v>
      </c>
      <c r="I61" s="2" t="s">
        <v>5</v>
      </c>
    </row>
    <row r="62" spans="1:9" ht="16" x14ac:dyDescent="0.2">
      <c r="A62" s="2" t="s">
        <v>1000</v>
      </c>
      <c r="B62" s="2" t="s">
        <v>5</v>
      </c>
      <c r="C62" s="2" t="s">
        <v>5</v>
      </c>
      <c r="D62" s="2" t="s">
        <v>5</v>
      </c>
      <c r="E62" s="2" t="s">
        <v>5</v>
      </c>
      <c r="F62" s="2" t="s">
        <v>5</v>
      </c>
      <c r="G62" s="2" t="s">
        <v>5</v>
      </c>
      <c r="H62" s="2" t="s">
        <v>5</v>
      </c>
      <c r="I62" s="2" t="s">
        <v>5</v>
      </c>
    </row>
    <row r="63" spans="1:9" ht="16" x14ac:dyDescent="0.2">
      <c r="A63" s="1" t="s">
        <v>971</v>
      </c>
      <c r="B63" s="2" t="s">
        <v>5</v>
      </c>
      <c r="C63" s="2" t="s">
        <v>5</v>
      </c>
      <c r="D63" s="2" t="s">
        <v>5</v>
      </c>
      <c r="E63" s="2" t="s">
        <v>5</v>
      </c>
      <c r="F63" s="2" t="s">
        <v>5</v>
      </c>
      <c r="G63" s="2" t="s">
        <v>5</v>
      </c>
      <c r="H63" s="2" t="s">
        <v>5</v>
      </c>
      <c r="I63" s="2" t="s">
        <v>5</v>
      </c>
    </row>
    <row r="64" spans="1:9" ht="16" x14ac:dyDescent="0.2">
      <c r="A64" s="2" t="s">
        <v>1001</v>
      </c>
      <c r="B64" s="2" t="s">
        <v>5</v>
      </c>
      <c r="C64" s="2" t="s">
        <v>5</v>
      </c>
      <c r="D64" s="4">
        <v>97</v>
      </c>
      <c r="E64" s="4">
        <v>106</v>
      </c>
      <c r="F64" s="2" t="s">
        <v>5</v>
      </c>
      <c r="G64" s="2" t="s">
        <v>5</v>
      </c>
      <c r="H64" s="2" t="s">
        <v>5</v>
      </c>
      <c r="I64" s="2" t="s">
        <v>5</v>
      </c>
    </row>
    <row r="65" spans="1:9" ht="16" x14ac:dyDescent="0.2">
      <c r="A65" s="2" t="s">
        <v>1002</v>
      </c>
      <c r="B65" s="2" t="s">
        <v>5</v>
      </c>
      <c r="C65" s="2" t="s">
        <v>5</v>
      </c>
      <c r="D65" s="2" t="s">
        <v>5</v>
      </c>
      <c r="E65" s="2" t="s">
        <v>5</v>
      </c>
      <c r="F65" s="2" t="s">
        <v>5</v>
      </c>
      <c r="G65" s="2" t="s">
        <v>5</v>
      </c>
      <c r="H65" s="2" t="s">
        <v>5</v>
      </c>
      <c r="I65" s="2" t="s">
        <v>5</v>
      </c>
    </row>
    <row r="66" spans="1:9" ht="16" x14ac:dyDescent="0.2">
      <c r="A66" s="1" t="s">
        <v>971</v>
      </c>
      <c r="B66" s="2" t="s">
        <v>5</v>
      </c>
      <c r="C66" s="2" t="s">
        <v>5</v>
      </c>
      <c r="D66" s="2" t="s">
        <v>5</v>
      </c>
      <c r="E66" s="2" t="s">
        <v>5</v>
      </c>
      <c r="F66" s="2" t="s">
        <v>5</v>
      </c>
      <c r="G66" s="2" t="s">
        <v>5</v>
      </c>
      <c r="H66" s="2" t="s">
        <v>5</v>
      </c>
      <c r="I66" s="2" t="s">
        <v>5</v>
      </c>
    </row>
    <row r="67" spans="1:9" ht="16" x14ac:dyDescent="0.2">
      <c r="A67" s="2" t="s">
        <v>1001</v>
      </c>
      <c r="B67" s="2" t="s">
        <v>5</v>
      </c>
      <c r="C67" s="2" t="s">
        <v>5</v>
      </c>
      <c r="D67" s="4">
        <v>62</v>
      </c>
      <c r="E67" s="4">
        <v>64</v>
      </c>
      <c r="F67" s="2" t="s">
        <v>5</v>
      </c>
      <c r="G67" s="2" t="s">
        <v>5</v>
      </c>
      <c r="H67" s="2" t="s">
        <v>5</v>
      </c>
      <c r="I67" s="2" t="s">
        <v>5</v>
      </c>
    </row>
    <row r="68" spans="1:9" ht="16" x14ac:dyDescent="0.2">
      <c r="A68" s="2" t="s">
        <v>1003</v>
      </c>
      <c r="B68" s="2" t="s">
        <v>5</v>
      </c>
      <c r="C68" s="2" t="s">
        <v>5</v>
      </c>
      <c r="D68" s="2" t="s">
        <v>5</v>
      </c>
      <c r="E68" s="2" t="s">
        <v>5</v>
      </c>
      <c r="F68" s="2" t="s">
        <v>5</v>
      </c>
      <c r="G68" s="2" t="s">
        <v>5</v>
      </c>
      <c r="H68" s="2" t="s">
        <v>5</v>
      </c>
      <c r="I68" s="2" t="s">
        <v>5</v>
      </c>
    </row>
    <row r="69" spans="1:9" ht="16" x14ac:dyDescent="0.2">
      <c r="A69" s="1" t="s">
        <v>971</v>
      </c>
      <c r="B69" s="2" t="s">
        <v>5</v>
      </c>
      <c r="C69" s="2" t="s">
        <v>5</v>
      </c>
      <c r="D69" s="2" t="s">
        <v>5</v>
      </c>
      <c r="E69" s="2" t="s">
        <v>5</v>
      </c>
      <c r="F69" s="2" t="s">
        <v>5</v>
      </c>
      <c r="G69" s="2" t="s">
        <v>5</v>
      </c>
      <c r="H69" s="2" t="s">
        <v>5</v>
      </c>
      <c r="I69" s="2" t="s">
        <v>5</v>
      </c>
    </row>
    <row r="70" spans="1:9" ht="16" x14ac:dyDescent="0.2">
      <c r="A70" s="2" t="s">
        <v>1001</v>
      </c>
      <c r="B70" s="2" t="s">
        <v>5</v>
      </c>
      <c r="C70" s="2" t="s">
        <v>5</v>
      </c>
      <c r="D70" s="4">
        <v>12</v>
      </c>
      <c r="E70" s="4">
        <v>5</v>
      </c>
      <c r="F70" s="2" t="s">
        <v>5</v>
      </c>
      <c r="G70" s="2" t="s">
        <v>5</v>
      </c>
      <c r="H70" s="2" t="s">
        <v>5</v>
      </c>
      <c r="I70" s="2" t="s">
        <v>5</v>
      </c>
    </row>
    <row r="71" spans="1:9" ht="16" x14ac:dyDescent="0.2">
      <c r="A71" s="2" t="s">
        <v>1004</v>
      </c>
      <c r="B71" s="2" t="s">
        <v>5</v>
      </c>
      <c r="C71" s="2" t="s">
        <v>5</v>
      </c>
      <c r="D71" s="2" t="s">
        <v>5</v>
      </c>
      <c r="E71" s="2" t="s">
        <v>5</v>
      </c>
      <c r="F71" s="2" t="s">
        <v>5</v>
      </c>
      <c r="G71" s="2" t="s">
        <v>5</v>
      </c>
      <c r="H71" s="2" t="s">
        <v>5</v>
      </c>
      <c r="I71" s="2" t="s">
        <v>5</v>
      </c>
    </row>
    <row r="72" spans="1:9" ht="16" x14ac:dyDescent="0.2">
      <c r="A72" s="1" t="s">
        <v>971</v>
      </c>
      <c r="B72" s="2" t="s">
        <v>5</v>
      </c>
      <c r="C72" s="2" t="s">
        <v>5</v>
      </c>
      <c r="D72" s="2" t="s">
        <v>5</v>
      </c>
      <c r="E72" s="2" t="s">
        <v>5</v>
      </c>
      <c r="F72" s="2" t="s">
        <v>5</v>
      </c>
      <c r="G72" s="2" t="s">
        <v>5</v>
      </c>
      <c r="H72" s="2" t="s">
        <v>5</v>
      </c>
      <c r="I72" s="2" t="s">
        <v>5</v>
      </c>
    </row>
    <row r="73" spans="1:9" ht="16" x14ac:dyDescent="0.2">
      <c r="A73" s="2" t="s">
        <v>998</v>
      </c>
      <c r="B73" s="2" t="s">
        <v>5</v>
      </c>
      <c r="C73" s="2" t="s">
        <v>5</v>
      </c>
      <c r="D73" s="4">
        <v>22</v>
      </c>
      <c r="E73" s="4">
        <v>30</v>
      </c>
      <c r="F73" s="2" t="s">
        <v>5</v>
      </c>
      <c r="G73" s="2" t="s">
        <v>5</v>
      </c>
      <c r="H73" s="2" t="s">
        <v>5</v>
      </c>
      <c r="I73" s="2" t="s">
        <v>5</v>
      </c>
    </row>
    <row r="74" spans="1:9" ht="16" x14ac:dyDescent="0.2">
      <c r="A74" s="2" t="s">
        <v>1005</v>
      </c>
      <c r="B74" s="4">
        <v>26</v>
      </c>
      <c r="C74" s="2" t="s">
        <v>5</v>
      </c>
      <c r="D74" s="4">
        <v>26</v>
      </c>
      <c r="E74" s="4">
        <v>20</v>
      </c>
      <c r="F74" s="2" t="s">
        <v>5</v>
      </c>
      <c r="G74" s="2" t="s">
        <v>5</v>
      </c>
      <c r="H74" s="2" t="s">
        <v>5</v>
      </c>
      <c r="I74" s="2" t="s">
        <v>5</v>
      </c>
    </row>
    <row r="75" spans="1:9" ht="16" x14ac:dyDescent="0.2">
      <c r="A75" s="2" t="s">
        <v>1006</v>
      </c>
      <c r="B75" s="2" t="s">
        <v>5</v>
      </c>
      <c r="C75" s="2" t="s">
        <v>5</v>
      </c>
      <c r="D75" s="4">
        <v>60</v>
      </c>
      <c r="E75" s="2" t="s">
        <v>5</v>
      </c>
      <c r="F75" s="2" t="s">
        <v>5</v>
      </c>
      <c r="G75" s="2" t="s">
        <v>5</v>
      </c>
      <c r="H75" s="2" t="s">
        <v>5</v>
      </c>
      <c r="I75" s="2" t="s">
        <v>5</v>
      </c>
    </row>
    <row r="76" spans="1:9" ht="16" x14ac:dyDescent="0.2">
      <c r="A76" s="2" t="s">
        <v>1007</v>
      </c>
      <c r="B76" s="2" t="s">
        <v>5</v>
      </c>
      <c r="C76" s="2" t="s">
        <v>5</v>
      </c>
      <c r="D76" s="2" t="s">
        <v>5</v>
      </c>
      <c r="E76" s="2" t="s">
        <v>5</v>
      </c>
      <c r="F76" s="2" t="s">
        <v>5</v>
      </c>
      <c r="G76" s="2" t="s">
        <v>5</v>
      </c>
      <c r="H76" s="2" t="s">
        <v>5</v>
      </c>
      <c r="I76" s="2" t="s">
        <v>5</v>
      </c>
    </row>
    <row r="77" spans="1:9" ht="16" x14ac:dyDescent="0.2">
      <c r="A77" s="1" t="s">
        <v>971</v>
      </c>
      <c r="B77" s="2" t="s">
        <v>5</v>
      </c>
      <c r="C77" s="2" t="s">
        <v>5</v>
      </c>
      <c r="D77" s="2" t="s">
        <v>5</v>
      </c>
      <c r="E77" s="2" t="s">
        <v>5</v>
      </c>
      <c r="F77" s="2" t="s">
        <v>5</v>
      </c>
      <c r="G77" s="2" t="s">
        <v>5</v>
      </c>
      <c r="H77" s="2" t="s">
        <v>5</v>
      </c>
      <c r="I77" s="2" t="s">
        <v>5</v>
      </c>
    </row>
    <row r="78" spans="1:9" ht="16" x14ac:dyDescent="0.2">
      <c r="A78" s="2" t="s">
        <v>1001</v>
      </c>
      <c r="B78" s="2" t="s">
        <v>5</v>
      </c>
      <c r="C78" s="2" t="s">
        <v>5</v>
      </c>
      <c r="D78" s="4">
        <v>28</v>
      </c>
      <c r="E78" s="4">
        <v>21</v>
      </c>
      <c r="F78" s="2" t="s">
        <v>5</v>
      </c>
      <c r="G78" s="2" t="s">
        <v>5</v>
      </c>
      <c r="H78" s="2" t="s">
        <v>5</v>
      </c>
      <c r="I78" s="2" t="s">
        <v>5</v>
      </c>
    </row>
    <row r="79" spans="1:9" ht="16" x14ac:dyDescent="0.2">
      <c r="A79" s="2" t="s">
        <v>1008</v>
      </c>
      <c r="B79" s="2" t="s">
        <v>5</v>
      </c>
      <c r="C79" s="2" t="s">
        <v>5</v>
      </c>
      <c r="D79" s="2" t="s">
        <v>5</v>
      </c>
      <c r="E79" s="2" t="s">
        <v>5</v>
      </c>
      <c r="F79" s="2" t="s">
        <v>5</v>
      </c>
      <c r="G79" s="2" t="s">
        <v>5</v>
      </c>
      <c r="H79" s="2" t="s">
        <v>5</v>
      </c>
      <c r="I79" s="2" t="s">
        <v>5</v>
      </c>
    </row>
    <row r="80" spans="1:9" ht="16" x14ac:dyDescent="0.2">
      <c r="A80" s="1" t="s">
        <v>971</v>
      </c>
      <c r="B80" s="2" t="s">
        <v>5</v>
      </c>
      <c r="C80" s="2" t="s">
        <v>5</v>
      </c>
      <c r="D80" s="2" t="s">
        <v>5</v>
      </c>
      <c r="E80" s="2" t="s">
        <v>5</v>
      </c>
      <c r="F80" s="2" t="s">
        <v>5</v>
      </c>
      <c r="G80" s="2" t="s">
        <v>5</v>
      </c>
      <c r="H80" s="2" t="s">
        <v>5</v>
      </c>
      <c r="I80" s="2" t="s">
        <v>5</v>
      </c>
    </row>
    <row r="81" spans="1:9" ht="16" x14ac:dyDescent="0.2">
      <c r="A81" s="2" t="s">
        <v>1009</v>
      </c>
      <c r="B81" s="2" t="s">
        <v>5</v>
      </c>
      <c r="C81" s="2" t="s">
        <v>5</v>
      </c>
      <c r="D81" s="4">
        <v>62</v>
      </c>
      <c r="E81" s="2" t="s">
        <v>5</v>
      </c>
      <c r="F81" s="2" t="s">
        <v>5</v>
      </c>
      <c r="G81" s="2" t="s">
        <v>5</v>
      </c>
      <c r="H81" s="2" t="s">
        <v>5</v>
      </c>
      <c r="I81" s="2" t="s">
        <v>5</v>
      </c>
    </row>
    <row r="82" spans="1:9" ht="16" x14ac:dyDescent="0.2">
      <c r="A82" s="2" t="s">
        <v>1010</v>
      </c>
      <c r="B82" s="2" t="s">
        <v>5</v>
      </c>
      <c r="C82" s="2" t="s">
        <v>5</v>
      </c>
      <c r="D82" s="4">
        <v>4</v>
      </c>
      <c r="E82" s="2" t="s">
        <v>5</v>
      </c>
      <c r="F82" s="2" t="s">
        <v>5</v>
      </c>
      <c r="G82" s="2" t="s">
        <v>5</v>
      </c>
      <c r="H82" s="2" t="s">
        <v>5</v>
      </c>
      <c r="I82" s="2" t="s">
        <v>5</v>
      </c>
    </row>
    <row r="83" spans="1:9" ht="16" x14ac:dyDescent="0.2">
      <c r="A83" s="2" t="s">
        <v>1011</v>
      </c>
      <c r="B83" s="2" t="s">
        <v>5</v>
      </c>
      <c r="C83" s="2" t="s">
        <v>5</v>
      </c>
      <c r="D83" s="2" t="s">
        <v>5</v>
      </c>
      <c r="E83" s="2" t="s">
        <v>5</v>
      </c>
      <c r="F83" s="2" t="s">
        <v>5</v>
      </c>
      <c r="G83" s="2" t="s">
        <v>5</v>
      </c>
      <c r="H83" s="2" t="s">
        <v>5</v>
      </c>
      <c r="I83" s="2" t="s">
        <v>5</v>
      </c>
    </row>
    <row r="84" spans="1:9" ht="16" x14ac:dyDescent="0.2">
      <c r="A84" s="1" t="s">
        <v>971</v>
      </c>
      <c r="B84" s="2" t="s">
        <v>5</v>
      </c>
      <c r="C84" s="2" t="s">
        <v>5</v>
      </c>
      <c r="D84" s="2" t="s">
        <v>5</v>
      </c>
      <c r="E84" s="2" t="s">
        <v>5</v>
      </c>
      <c r="F84" s="2" t="s">
        <v>5</v>
      </c>
      <c r="G84" s="2" t="s">
        <v>5</v>
      </c>
      <c r="H84" s="2" t="s">
        <v>5</v>
      </c>
      <c r="I84" s="2" t="s">
        <v>5</v>
      </c>
    </row>
    <row r="85" spans="1:9" ht="16" x14ac:dyDescent="0.2">
      <c r="A85" s="2" t="s">
        <v>998</v>
      </c>
      <c r="B85" s="2" t="s">
        <v>5</v>
      </c>
      <c r="C85" s="2" t="s">
        <v>5</v>
      </c>
      <c r="D85" s="4">
        <v>5</v>
      </c>
      <c r="E85" s="4">
        <v>7</v>
      </c>
      <c r="F85" s="2" t="s">
        <v>5</v>
      </c>
      <c r="G85" s="2" t="s">
        <v>5</v>
      </c>
      <c r="H85" s="2" t="s">
        <v>5</v>
      </c>
      <c r="I85" s="2" t="s">
        <v>5</v>
      </c>
    </row>
    <row r="86" spans="1:9" ht="16" x14ac:dyDescent="0.2">
      <c r="A86" s="2" t="s">
        <v>1012</v>
      </c>
      <c r="B86" s="2" t="s">
        <v>5</v>
      </c>
      <c r="C86" s="2" t="s">
        <v>5</v>
      </c>
      <c r="D86" s="2" t="s">
        <v>5</v>
      </c>
      <c r="E86" s="2" t="s">
        <v>5</v>
      </c>
      <c r="F86" s="2" t="s">
        <v>5</v>
      </c>
      <c r="G86" s="2" t="s">
        <v>5</v>
      </c>
      <c r="H86" s="2" t="s">
        <v>5</v>
      </c>
      <c r="I86" s="2" t="s">
        <v>5</v>
      </c>
    </row>
    <row r="87" spans="1:9" ht="16" x14ac:dyDescent="0.2">
      <c r="A87" s="1" t="s">
        <v>971</v>
      </c>
      <c r="B87" s="2" t="s">
        <v>5</v>
      </c>
      <c r="C87" s="2" t="s">
        <v>5</v>
      </c>
      <c r="D87" s="2" t="s">
        <v>5</v>
      </c>
      <c r="E87" s="2" t="s">
        <v>5</v>
      </c>
      <c r="F87" s="2" t="s">
        <v>5</v>
      </c>
      <c r="G87" s="2" t="s">
        <v>5</v>
      </c>
      <c r="H87" s="2" t="s">
        <v>5</v>
      </c>
      <c r="I87" s="2" t="s">
        <v>5</v>
      </c>
    </row>
    <row r="88" spans="1:9" ht="16" x14ac:dyDescent="0.2">
      <c r="A88" s="2" t="s">
        <v>1013</v>
      </c>
      <c r="B88" s="5">
        <v>2900</v>
      </c>
      <c r="C88" s="2" t="s">
        <v>5</v>
      </c>
      <c r="D88" s="5">
        <v>2900</v>
      </c>
      <c r="E88" s="4">
        <v>2500</v>
      </c>
      <c r="F88" s="2" t="s">
        <v>5</v>
      </c>
      <c r="G88" s="2" t="s">
        <v>5</v>
      </c>
      <c r="H88" s="2" t="s">
        <v>5</v>
      </c>
      <c r="I88" s="2" t="s">
        <v>5</v>
      </c>
    </row>
    <row r="89" spans="1:9" ht="16" x14ac:dyDescent="0.2">
      <c r="A89" s="2" t="s">
        <v>1014</v>
      </c>
      <c r="B89" s="2" t="s">
        <v>5</v>
      </c>
      <c r="C89" s="2" t="s">
        <v>5</v>
      </c>
      <c r="D89" s="2" t="s">
        <v>5</v>
      </c>
      <c r="E89" s="2" t="s">
        <v>5</v>
      </c>
      <c r="F89" s="2" t="s">
        <v>5</v>
      </c>
      <c r="G89" s="2" t="s">
        <v>5</v>
      </c>
      <c r="H89" s="2" t="s">
        <v>5</v>
      </c>
      <c r="I89" s="2" t="s">
        <v>5</v>
      </c>
    </row>
    <row r="90" spans="1:9" ht="16" x14ac:dyDescent="0.2">
      <c r="A90" s="1" t="s">
        <v>971</v>
      </c>
      <c r="B90" s="2" t="s">
        <v>5</v>
      </c>
      <c r="C90" s="2" t="s">
        <v>5</v>
      </c>
      <c r="D90" s="2" t="s">
        <v>5</v>
      </c>
      <c r="E90" s="2" t="s">
        <v>5</v>
      </c>
      <c r="F90" s="2" t="s">
        <v>5</v>
      </c>
      <c r="G90" s="2" t="s">
        <v>5</v>
      </c>
      <c r="H90" s="2" t="s">
        <v>5</v>
      </c>
      <c r="I90" s="2" t="s">
        <v>5</v>
      </c>
    </row>
    <row r="91" spans="1:9" ht="16" x14ac:dyDescent="0.2">
      <c r="A91" s="2" t="s">
        <v>1015</v>
      </c>
      <c r="B91" s="2" t="s">
        <v>1016</v>
      </c>
      <c r="C91" s="2" t="s">
        <v>5</v>
      </c>
      <c r="D91" s="2" t="s">
        <v>1016</v>
      </c>
      <c r="E91" s="2" t="s">
        <v>5</v>
      </c>
      <c r="F91" s="2" t="s">
        <v>5</v>
      </c>
      <c r="G91" s="2" t="s">
        <v>5</v>
      </c>
      <c r="H91" s="2" t="s">
        <v>5</v>
      </c>
      <c r="I91" s="2" t="s">
        <v>5</v>
      </c>
    </row>
    <row r="92" spans="1:9" ht="16" x14ac:dyDescent="0.2">
      <c r="A92" s="2" t="s">
        <v>867</v>
      </c>
      <c r="B92" s="2" t="s">
        <v>5</v>
      </c>
      <c r="C92" s="2" t="s">
        <v>5</v>
      </c>
      <c r="D92" s="2" t="s">
        <v>5</v>
      </c>
      <c r="E92" s="2" t="s">
        <v>5</v>
      </c>
      <c r="F92" s="2" t="s">
        <v>5</v>
      </c>
      <c r="G92" s="2" t="s">
        <v>5</v>
      </c>
      <c r="H92" s="2" t="s">
        <v>5</v>
      </c>
      <c r="I92" s="2" t="s">
        <v>5</v>
      </c>
    </row>
    <row r="93" spans="1:9" ht="16" x14ac:dyDescent="0.2">
      <c r="A93" s="1" t="s">
        <v>971</v>
      </c>
      <c r="B93" s="2" t="s">
        <v>5</v>
      </c>
      <c r="C93" s="2" t="s">
        <v>5</v>
      </c>
      <c r="D93" s="2" t="s">
        <v>5</v>
      </c>
      <c r="E93" s="2" t="s">
        <v>5</v>
      </c>
      <c r="F93" s="2" t="s">
        <v>5</v>
      </c>
      <c r="G93" s="2" t="s">
        <v>5</v>
      </c>
      <c r="H93" s="2" t="s">
        <v>5</v>
      </c>
      <c r="I93" s="2" t="s">
        <v>5</v>
      </c>
    </row>
    <row r="94" spans="1:9" ht="16" x14ac:dyDescent="0.2">
      <c r="A94" s="2" t="s">
        <v>1015</v>
      </c>
      <c r="B94" s="2" t="s">
        <v>1017</v>
      </c>
      <c r="C94" s="2" t="s">
        <v>5</v>
      </c>
      <c r="D94" s="2" t="s">
        <v>1017</v>
      </c>
      <c r="E94" s="2" t="s">
        <v>5</v>
      </c>
      <c r="F94" s="2" t="s">
        <v>5</v>
      </c>
      <c r="G94" s="2" t="s">
        <v>5</v>
      </c>
      <c r="H94" s="2" t="s">
        <v>5</v>
      </c>
      <c r="I94" s="2" t="s">
        <v>5</v>
      </c>
    </row>
    <row r="95" spans="1:9" ht="16" x14ac:dyDescent="0.2">
      <c r="A95" s="2" t="s">
        <v>1018</v>
      </c>
      <c r="B95" s="2" t="s">
        <v>5</v>
      </c>
      <c r="C95" s="2" t="s">
        <v>5</v>
      </c>
      <c r="D95" s="2" t="s">
        <v>5</v>
      </c>
      <c r="E95" s="2" t="s">
        <v>5</v>
      </c>
      <c r="F95" s="2" t="s">
        <v>5</v>
      </c>
      <c r="G95" s="2" t="s">
        <v>5</v>
      </c>
      <c r="H95" s="2" t="s">
        <v>5</v>
      </c>
      <c r="I95" s="2" t="s">
        <v>5</v>
      </c>
    </row>
    <row r="96" spans="1:9" ht="16" x14ac:dyDescent="0.2">
      <c r="A96" s="1" t="s">
        <v>971</v>
      </c>
      <c r="B96" s="2" t="s">
        <v>5</v>
      </c>
      <c r="C96" s="2" t="s">
        <v>5</v>
      </c>
      <c r="D96" s="2" t="s">
        <v>5</v>
      </c>
      <c r="E96" s="2" t="s">
        <v>5</v>
      </c>
      <c r="F96" s="2" t="s">
        <v>5</v>
      </c>
      <c r="G96" s="2" t="s">
        <v>5</v>
      </c>
      <c r="H96" s="2" t="s">
        <v>5</v>
      </c>
      <c r="I96" s="2" t="s">
        <v>5</v>
      </c>
    </row>
    <row r="97" spans="1:9" ht="16" x14ac:dyDescent="0.2">
      <c r="A97" s="2" t="s">
        <v>1015</v>
      </c>
      <c r="B97" s="2" t="s">
        <v>1019</v>
      </c>
      <c r="C97" s="2" t="s">
        <v>5</v>
      </c>
      <c r="D97" s="2" t="s">
        <v>1019</v>
      </c>
      <c r="E97" s="2" t="s">
        <v>5</v>
      </c>
      <c r="F97" s="2" t="s">
        <v>5</v>
      </c>
      <c r="G97" s="2" t="s">
        <v>5</v>
      </c>
      <c r="H97" s="2" t="s">
        <v>5</v>
      </c>
      <c r="I97" s="2" t="s">
        <v>5</v>
      </c>
    </row>
    <row r="98" spans="1:9" ht="16" x14ac:dyDescent="0.2">
      <c r="A98" s="2" t="s">
        <v>1020</v>
      </c>
      <c r="B98" s="2" t="s">
        <v>5</v>
      </c>
      <c r="C98" s="2" t="s">
        <v>5</v>
      </c>
      <c r="D98" s="2" t="s">
        <v>5</v>
      </c>
      <c r="E98" s="2" t="s">
        <v>5</v>
      </c>
      <c r="F98" s="2" t="s">
        <v>5</v>
      </c>
      <c r="G98" s="2" t="s">
        <v>5</v>
      </c>
      <c r="H98" s="2" t="s">
        <v>5</v>
      </c>
      <c r="I98" s="2" t="s">
        <v>5</v>
      </c>
    </row>
    <row r="99" spans="1:9" ht="16" x14ac:dyDescent="0.2">
      <c r="A99" s="1" t="s">
        <v>971</v>
      </c>
      <c r="B99" s="2" t="s">
        <v>5</v>
      </c>
      <c r="C99" s="2" t="s">
        <v>5</v>
      </c>
      <c r="D99" s="2" t="s">
        <v>5</v>
      </c>
      <c r="E99" s="2" t="s">
        <v>5</v>
      </c>
      <c r="F99" s="2" t="s">
        <v>5</v>
      </c>
      <c r="G99" s="2" t="s">
        <v>5</v>
      </c>
      <c r="H99" s="2" t="s">
        <v>5</v>
      </c>
      <c r="I99" s="2" t="s">
        <v>5</v>
      </c>
    </row>
    <row r="100" spans="1:9" ht="16" x14ac:dyDescent="0.2">
      <c r="A100" s="2" t="s">
        <v>1021</v>
      </c>
      <c r="B100" s="5">
        <v>17003</v>
      </c>
      <c r="C100" s="2" t="s">
        <v>5</v>
      </c>
      <c r="D100" s="5">
        <v>17003</v>
      </c>
      <c r="E100" s="4">
        <v>16105</v>
      </c>
      <c r="F100" s="2" t="s">
        <v>5</v>
      </c>
      <c r="G100" s="2" t="s">
        <v>5</v>
      </c>
      <c r="H100" s="2" t="s">
        <v>5</v>
      </c>
      <c r="I100" s="2" t="s">
        <v>5</v>
      </c>
    </row>
    <row r="101" spans="1:9" ht="16" x14ac:dyDescent="0.2">
      <c r="A101" s="2" t="s">
        <v>1022</v>
      </c>
      <c r="B101" s="2" t="s">
        <v>5</v>
      </c>
      <c r="C101" s="2" t="s">
        <v>5</v>
      </c>
      <c r="D101" s="2" t="s">
        <v>5</v>
      </c>
      <c r="E101" s="2" t="s">
        <v>5</v>
      </c>
      <c r="F101" s="2" t="s">
        <v>5</v>
      </c>
      <c r="G101" s="2" t="s">
        <v>5</v>
      </c>
      <c r="H101" s="2" t="s">
        <v>5</v>
      </c>
      <c r="I101" s="2" t="s">
        <v>5</v>
      </c>
    </row>
    <row r="102" spans="1:9" ht="16" x14ac:dyDescent="0.2">
      <c r="A102" s="1" t="s">
        <v>971</v>
      </c>
      <c r="B102" s="2" t="s">
        <v>5</v>
      </c>
      <c r="C102" s="2" t="s">
        <v>5</v>
      </c>
      <c r="D102" s="2" t="s">
        <v>5</v>
      </c>
      <c r="E102" s="2" t="s">
        <v>5</v>
      </c>
      <c r="F102" s="2" t="s">
        <v>5</v>
      </c>
      <c r="G102" s="2" t="s">
        <v>5</v>
      </c>
      <c r="H102" s="2" t="s">
        <v>5</v>
      </c>
      <c r="I102" s="2" t="s">
        <v>5</v>
      </c>
    </row>
    <row r="103" spans="1:9" ht="16" x14ac:dyDescent="0.2">
      <c r="A103" s="2" t="s">
        <v>1021</v>
      </c>
      <c r="B103" s="5">
        <v>264</v>
      </c>
      <c r="C103" s="2" t="s">
        <v>5</v>
      </c>
      <c r="D103" s="5">
        <v>264</v>
      </c>
      <c r="E103" s="2" t="s">
        <v>5</v>
      </c>
      <c r="F103" s="2" t="s">
        <v>5</v>
      </c>
      <c r="G103" s="2" t="s">
        <v>5</v>
      </c>
      <c r="H103" s="2" t="s">
        <v>5</v>
      </c>
      <c r="I103" s="2" t="s">
        <v>5</v>
      </c>
    </row>
    <row r="104" spans="1:9" ht="16" x14ac:dyDescent="0.2">
      <c r="A104" s="2" t="s">
        <v>1023</v>
      </c>
      <c r="B104" s="2" t="s">
        <v>1024</v>
      </c>
      <c r="C104" s="2" t="s">
        <v>5</v>
      </c>
      <c r="D104" s="2" t="s">
        <v>1024</v>
      </c>
      <c r="E104" s="2" t="s">
        <v>5</v>
      </c>
      <c r="F104" s="2" t="s">
        <v>5</v>
      </c>
      <c r="G104" s="2" t="s">
        <v>5</v>
      </c>
      <c r="H104" s="2" t="s">
        <v>5</v>
      </c>
      <c r="I104" s="2" t="s">
        <v>5</v>
      </c>
    </row>
    <row r="105" spans="1:9" ht="16" x14ac:dyDescent="0.2">
      <c r="A105" s="2" t="s">
        <v>1025</v>
      </c>
      <c r="B105" s="2" t="s">
        <v>5</v>
      </c>
      <c r="C105" s="2" t="s">
        <v>5</v>
      </c>
      <c r="D105" s="2" t="s">
        <v>5</v>
      </c>
      <c r="E105" s="2" t="s">
        <v>5</v>
      </c>
      <c r="F105" s="2" t="s">
        <v>5</v>
      </c>
      <c r="G105" s="2" t="s">
        <v>5</v>
      </c>
      <c r="H105" s="2" t="s">
        <v>5</v>
      </c>
      <c r="I105" s="2" t="s">
        <v>5</v>
      </c>
    </row>
    <row r="106" spans="1:9" ht="16" x14ac:dyDescent="0.2">
      <c r="A106" s="1" t="s">
        <v>971</v>
      </c>
      <c r="B106" s="2" t="s">
        <v>5</v>
      </c>
      <c r="C106" s="2" t="s">
        <v>5</v>
      </c>
      <c r="D106" s="2" t="s">
        <v>5</v>
      </c>
      <c r="E106" s="2" t="s">
        <v>5</v>
      </c>
      <c r="F106" s="2" t="s">
        <v>5</v>
      </c>
      <c r="G106" s="2" t="s">
        <v>5</v>
      </c>
      <c r="H106" s="2" t="s">
        <v>5</v>
      </c>
      <c r="I106" s="2" t="s">
        <v>5</v>
      </c>
    </row>
    <row r="107" spans="1:9" ht="16" x14ac:dyDescent="0.2">
      <c r="A107" s="2" t="s">
        <v>1021</v>
      </c>
      <c r="B107" s="5">
        <v>1415</v>
      </c>
      <c r="C107" s="2" t="s">
        <v>5</v>
      </c>
      <c r="D107" s="5">
        <v>1415</v>
      </c>
      <c r="E107" s="4">
        <v>1117</v>
      </c>
      <c r="F107" s="2" t="s">
        <v>5</v>
      </c>
      <c r="G107" s="2" t="s">
        <v>5</v>
      </c>
      <c r="H107" s="2" t="s">
        <v>5</v>
      </c>
      <c r="I107" s="2" t="s">
        <v>5</v>
      </c>
    </row>
    <row r="108" spans="1:9" ht="32" x14ac:dyDescent="0.2">
      <c r="A108" s="2" t="s">
        <v>1026</v>
      </c>
      <c r="B108" s="2" t="s">
        <v>5</v>
      </c>
      <c r="C108" s="2" t="s">
        <v>5</v>
      </c>
      <c r="D108" s="2" t="s">
        <v>5</v>
      </c>
      <c r="E108" s="2" t="s">
        <v>5</v>
      </c>
      <c r="F108" s="2" t="s">
        <v>5</v>
      </c>
      <c r="G108" s="2" t="s">
        <v>5</v>
      </c>
      <c r="H108" s="2" t="s">
        <v>5</v>
      </c>
      <c r="I108" s="2" t="s">
        <v>5</v>
      </c>
    </row>
    <row r="109" spans="1:9" ht="16" x14ac:dyDescent="0.2">
      <c r="A109" s="1" t="s">
        <v>971</v>
      </c>
      <c r="B109" s="2" t="s">
        <v>5</v>
      </c>
      <c r="C109" s="2" t="s">
        <v>5</v>
      </c>
      <c r="D109" s="2" t="s">
        <v>5</v>
      </c>
      <c r="E109" s="2" t="s">
        <v>5</v>
      </c>
      <c r="F109" s="2" t="s">
        <v>5</v>
      </c>
      <c r="G109" s="2" t="s">
        <v>5</v>
      </c>
      <c r="H109" s="2" t="s">
        <v>5</v>
      </c>
      <c r="I109" s="2" t="s">
        <v>5</v>
      </c>
    </row>
    <row r="110" spans="1:9" ht="16" x14ac:dyDescent="0.2">
      <c r="A110" s="2" t="s">
        <v>1021</v>
      </c>
      <c r="B110" s="4">
        <v>407</v>
      </c>
      <c r="C110" s="2" t="s">
        <v>5</v>
      </c>
      <c r="D110" s="4">
        <v>407</v>
      </c>
      <c r="E110" s="4">
        <v>286</v>
      </c>
      <c r="F110" s="2" t="s">
        <v>5</v>
      </c>
      <c r="G110" s="2" t="s">
        <v>5</v>
      </c>
      <c r="H110" s="2" t="s">
        <v>5</v>
      </c>
      <c r="I110" s="2" t="s">
        <v>5</v>
      </c>
    </row>
    <row r="111" spans="1:9" ht="16" x14ac:dyDescent="0.2">
      <c r="A111" s="2" t="s">
        <v>1027</v>
      </c>
      <c r="B111" s="2" t="s">
        <v>5</v>
      </c>
      <c r="C111" s="2" t="s">
        <v>5</v>
      </c>
      <c r="D111" s="2" t="s">
        <v>5</v>
      </c>
      <c r="E111" s="2" t="s">
        <v>5</v>
      </c>
      <c r="F111" s="2" t="s">
        <v>5</v>
      </c>
      <c r="G111" s="2" t="s">
        <v>5</v>
      </c>
      <c r="H111" s="2" t="s">
        <v>5</v>
      </c>
      <c r="I111" s="2" t="s">
        <v>5</v>
      </c>
    </row>
    <row r="112" spans="1:9" ht="16" x14ac:dyDescent="0.2">
      <c r="A112" s="1" t="s">
        <v>971</v>
      </c>
      <c r="B112" s="2" t="s">
        <v>5</v>
      </c>
      <c r="C112" s="2" t="s">
        <v>5</v>
      </c>
      <c r="D112" s="2" t="s">
        <v>5</v>
      </c>
      <c r="E112" s="2" t="s">
        <v>5</v>
      </c>
      <c r="F112" s="2" t="s">
        <v>5</v>
      </c>
      <c r="G112" s="2" t="s">
        <v>5</v>
      </c>
      <c r="H112" s="2" t="s">
        <v>5</v>
      </c>
      <c r="I112" s="2" t="s">
        <v>5</v>
      </c>
    </row>
    <row r="113" spans="1:9" ht="16" x14ac:dyDescent="0.2">
      <c r="A113" s="2" t="s">
        <v>1021</v>
      </c>
      <c r="B113" s="4">
        <v>407</v>
      </c>
      <c r="C113" s="2" t="s">
        <v>5</v>
      </c>
      <c r="D113" s="4">
        <v>407</v>
      </c>
      <c r="E113" s="5">
        <v>286</v>
      </c>
      <c r="F113" s="2" t="s">
        <v>5</v>
      </c>
      <c r="G113" s="2" t="s">
        <v>5</v>
      </c>
      <c r="H113" s="2" t="s">
        <v>5</v>
      </c>
      <c r="I113" s="2" t="s">
        <v>5</v>
      </c>
    </row>
    <row r="114" spans="1:9" ht="16" x14ac:dyDescent="0.2">
      <c r="A114" s="2" t="s">
        <v>1028</v>
      </c>
      <c r="B114" s="2" t="s">
        <v>5</v>
      </c>
      <c r="C114" s="2" t="s">
        <v>5</v>
      </c>
      <c r="D114" s="2" t="s">
        <v>5</v>
      </c>
      <c r="E114" s="2" t="s">
        <v>5</v>
      </c>
      <c r="F114" s="2" t="s">
        <v>5</v>
      </c>
      <c r="G114" s="2" t="s">
        <v>5</v>
      </c>
      <c r="H114" s="2" t="s">
        <v>5</v>
      </c>
      <c r="I114" s="2" t="s">
        <v>5</v>
      </c>
    </row>
    <row r="115" spans="1:9" ht="16" x14ac:dyDescent="0.2">
      <c r="A115" s="1" t="s">
        <v>971</v>
      </c>
      <c r="B115" s="2" t="s">
        <v>5</v>
      </c>
      <c r="C115" s="2" t="s">
        <v>5</v>
      </c>
      <c r="D115" s="2" t="s">
        <v>5</v>
      </c>
      <c r="E115" s="2" t="s">
        <v>5</v>
      </c>
      <c r="F115" s="2" t="s">
        <v>5</v>
      </c>
      <c r="G115" s="2" t="s">
        <v>5</v>
      </c>
      <c r="H115" s="2" t="s">
        <v>5</v>
      </c>
      <c r="I115" s="2" t="s">
        <v>5</v>
      </c>
    </row>
    <row r="116" spans="1:9" ht="16" x14ac:dyDescent="0.2">
      <c r="A116" s="2" t="s">
        <v>763</v>
      </c>
      <c r="B116" s="4">
        <v>100</v>
      </c>
      <c r="C116" s="2" t="s">
        <v>5</v>
      </c>
      <c r="D116" s="4">
        <v>100</v>
      </c>
      <c r="E116" s="2" t="s">
        <v>5</v>
      </c>
      <c r="F116" s="2" t="s">
        <v>5</v>
      </c>
      <c r="G116" s="2" t="s">
        <v>5</v>
      </c>
      <c r="H116" s="2" t="s">
        <v>5</v>
      </c>
      <c r="I116" s="2" t="s">
        <v>5</v>
      </c>
    </row>
    <row r="117" spans="1:9" ht="16" x14ac:dyDescent="0.2">
      <c r="A117" s="2" t="s">
        <v>1029</v>
      </c>
      <c r="B117" s="2" t="s">
        <v>5</v>
      </c>
      <c r="C117" s="2" t="s">
        <v>5</v>
      </c>
      <c r="D117" s="2" t="s">
        <v>5</v>
      </c>
      <c r="E117" s="2" t="s">
        <v>5</v>
      </c>
      <c r="F117" s="2" t="s">
        <v>5</v>
      </c>
      <c r="G117" s="2" t="s">
        <v>5</v>
      </c>
      <c r="H117" s="2" t="s">
        <v>5</v>
      </c>
      <c r="I117" s="2" t="s">
        <v>5</v>
      </c>
    </row>
    <row r="118" spans="1:9" ht="16" x14ac:dyDescent="0.2">
      <c r="A118" s="1" t="s">
        <v>971</v>
      </c>
      <c r="B118" s="2" t="s">
        <v>5</v>
      </c>
      <c r="C118" s="2" t="s">
        <v>5</v>
      </c>
      <c r="D118" s="2" t="s">
        <v>5</v>
      </c>
      <c r="E118" s="2" t="s">
        <v>5</v>
      </c>
      <c r="F118" s="2" t="s">
        <v>5</v>
      </c>
      <c r="G118" s="2" t="s">
        <v>5</v>
      </c>
      <c r="H118" s="2" t="s">
        <v>5</v>
      </c>
      <c r="I118" s="2" t="s">
        <v>5</v>
      </c>
    </row>
    <row r="119" spans="1:9" ht="16" x14ac:dyDescent="0.2">
      <c r="A119" s="2" t="s">
        <v>763</v>
      </c>
      <c r="B119" s="5">
        <v>600</v>
      </c>
      <c r="C119" s="2" t="s">
        <v>5</v>
      </c>
      <c r="D119" s="5">
        <v>600</v>
      </c>
      <c r="E119" s="2" t="s">
        <v>5</v>
      </c>
      <c r="F119" s="2" t="s">
        <v>5</v>
      </c>
      <c r="G119" s="2" t="s">
        <v>5</v>
      </c>
      <c r="H119" s="2" t="s">
        <v>5</v>
      </c>
      <c r="I119" s="2" t="s">
        <v>5</v>
      </c>
    </row>
  </sheetData>
  <mergeCells count="3">
    <mergeCell ref="A1:A2"/>
    <mergeCell ref="B1:C1"/>
    <mergeCell ref="D1:E1"/>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8"/>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1030</v>
      </c>
      <c r="B1" s="61" t="s">
        <v>1</v>
      </c>
      <c r="C1" s="60"/>
    </row>
    <row r="2" spans="1:3" ht="16" x14ac:dyDescent="0.2">
      <c r="A2" s="60"/>
      <c r="B2" s="12" t="s">
        <v>2</v>
      </c>
      <c r="C2" s="12" t="s">
        <v>75</v>
      </c>
    </row>
    <row r="3" spans="1:3" ht="16" x14ac:dyDescent="0.2">
      <c r="A3" s="1" t="s">
        <v>1031</v>
      </c>
      <c r="B3" s="2" t="s">
        <v>5</v>
      </c>
      <c r="C3" s="2" t="s">
        <v>5</v>
      </c>
    </row>
    <row r="4" spans="1:3" ht="16" x14ac:dyDescent="0.2">
      <c r="A4" s="2" t="s">
        <v>1032</v>
      </c>
      <c r="B4" s="5">
        <v>1864</v>
      </c>
      <c r="C4" s="5">
        <v>2940</v>
      </c>
    </row>
    <row r="5" spans="1:3" ht="16" x14ac:dyDescent="0.2">
      <c r="A5" s="2" t="s">
        <v>1033</v>
      </c>
      <c r="B5" s="4">
        <v>-449</v>
      </c>
      <c r="C5" s="4">
        <v>-1031</v>
      </c>
    </row>
    <row r="6" spans="1:3" ht="16" x14ac:dyDescent="0.2">
      <c r="A6" s="2" t="s">
        <v>1034</v>
      </c>
      <c r="B6" s="4">
        <v>-61</v>
      </c>
      <c r="C6" s="4">
        <v>-29</v>
      </c>
    </row>
    <row r="7" spans="1:3" ht="16" x14ac:dyDescent="0.2">
      <c r="A7" s="2" t="s">
        <v>797</v>
      </c>
      <c r="B7" s="4">
        <v>-27</v>
      </c>
      <c r="C7" s="4">
        <v>-16</v>
      </c>
    </row>
    <row r="8" spans="1:3" ht="16" x14ac:dyDescent="0.2">
      <c r="A8" s="2" t="s">
        <v>1035</v>
      </c>
      <c r="B8" s="5">
        <v>1327</v>
      </c>
      <c r="C8" s="5">
        <v>1864</v>
      </c>
    </row>
  </sheetData>
  <mergeCells count="2">
    <mergeCell ref="A1:A2"/>
    <mergeCell ref="B1:C1"/>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7"/>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1036</v>
      </c>
      <c r="B1" s="61" t="s">
        <v>1</v>
      </c>
      <c r="C1" s="60"/>
    </row>
    <row r="2" spans="1:3" ht="16" x14ac:dyDescent="0.2">
      <c r="A2" s="60"/>
      <c r="B2" s="12" t="s">
        <v>2</v>
      </c>
      <c r="C2" s="12" t="s">
        <v>75</v>
      </c>
    </row>
    <row r="3" spans="1:3" ht="16" x14ac:dyDescent="0.2">
      <c r="A3" s="1" t="s">
        <v>1037</v>
      </c>
      <c r="B3" s="2" t="s">
        <v>5</v>
      </c>
      <c r="C3" s="2" t="s">
        <v>5</v>
      </c>
    </row>
    <row r="4" spans="1:3" ht="16" x14ac:dyDescent="0.2">
      <c r="A4" s="2" t="s">
        <v>1032</v>
      </c>
      <c r="B4" s="5">
        <v>752</v>
      </c>
      <c r="C4" s="5">
        <v>605</v>
      </c>
    </row>
    <row r="5" spans="1:3" ht="16" x14ac:dyDescent="0.2">
      <c r="A5" s="2" t="s">
        <v>1038</v>
      </c>
      <c r="B5" s="4">
        <v>-79</v>
      </c>
      <c r="C5" s="4">
        <v>-43</v>
      </c>
    </row>
    <row r="6" spans="1:3" ht="16" x14ac:dyDescent="0.2">
      <c r="A6" s="2" t="s">
        <v>797</v>
      </c>
      <c r="B6" s="4">
        <v>171</v>
      </c>
      <c r="C6" s="4">
        <v>190</v>
      </c>
    </row>
    <row r="7" spans="1:3" ht="16" x14ac:dyDescent="0.2">
      <c r="A7" s="2" t="s">
        <v>1035</v>
      </c>
      <c r="B7" s="5">
        <v>844</v>
      </c>
      <c r="C7" s="5">
        <v>752</v>
      </c>
    </row>
  </sheetData>
  <mergeCells count="2">
    <mergeCell ref="A1:A2"/>
    <mergeCell ref="B1:C1"/>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8"/>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1039</v>
      </c>
      <c r="B1" s="61" t="s">
        <v>1</v>
      </c>
      <c r="C1" s="60"/>
    </row>
    <row r="2" spans="1:3" ht="16" x14ac:dyDescent="0.2">
      <c r="A2" s="60"/>
      <c r="B2" s="12" t="s">
        <v>2</v>
      </c>
      <c r="C2" s="12" t="s">
        <v>75</v>
      </c>
    </row>
    <row r="3" spans="1:3" ht="16" x14ac:dyDescent="0.2">
      <c r="A3" s="1" t="s">
        <v>1040</v>
      </c>
      <c r="B3" s="2" t="s">
        <v>5</v>
      </c>
      <c r="C3" s="2" t="s">
        <v>5</v>
      </c>
    </row>
    <row r="4" spans="1:3" ht="16" x14ac:dyDescent="0.2">
      <c r="A4" s="2" t="s">
        <v>1032</v>
      </c>
      <c r="B4" s="5">
        <v>2275</v>
      </c>
      <c r="C4" s="5">
        <v>1900</v>
      </c>
    </row>
    <row r="5" spans="1:3" ht="16" x14ac:dyDescent="0.2">
      <c r="A5" s="2" t="s">
        <v>1041</v>
      </c>
      <c r="B5" s="4">
        <v>164</v>
      </c>
      <c r="C5" s="4">
        <v>202</v>
      </c>
    </row>
    <row r="6" spans="1:3" ht="16" x14ac:dyDescent="0.2">
      <c r="A6" s="2" t="s">
        <v>1033</v>
      </c>
      <c r="B6" s="4">
        <v>-320</v>
      </c>
      <c r="C6" s="4">
        <v>-403</v>
      </c>
    </row>
    <row r="7" spans="1:3" ht="16" x14ac:dyDescent="0.2">
      <c r="A7" s="2" t="s">
        <v>797</v>
      </c>
      <c r="B7" s="4">
        <v>329</v>
      </c>
      <c r="C7" s="4">
        <v>576</v>
      </c>
    </row>
    <row r="8" spans="1:3" ht="16" x14ac:dyDescent="0.2">
      <c r="A8" s="2" t="s">
        <v>1042</v>
      </c>
      <c r="B8" s="5">
        <v>2448</v>
      </c>
      <c r="C8" s="5">
        <v>2275</v>
      </c>
    </row>
  </sheetData>
  <mergeCells count="2">
    <mergeCell ref="A1:A2"/>
    <mergeCell ref="B1:C1"/>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9"/>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1043</v>
      </c>
      <c r="B1" s="12" t="s">
        <v>2</v>
      </c>
      <c r="C1" s="12" t="s">
        <v>75</v>
      </c>
    </row>
    <row r="2" spans="1:3" ht="16" x14ac:dyDescent="0.2">
      <c r="A2" s="1" t="s">
        <v>1044</v>
      </c>
      <c r="B2" s="2" t="s">
        <v>5</v>
      </c>
      <c r="C2" s="2" t="s">
        <v>5</v>
      </c>
    </row>
    <row r="3" spans="1:3" ht="16" x14ac:dyDescent="0.2">
      <c r="A3" s="2" t="s">
        <v>687</v>
      </c>
      <c r="B3" s="5">
        <v>1946</v>
      </c>
      <c r="C3" s="2" t="s">
        <v>5</v>
      </c>
    </row>
    <row r="4" spans="1:3" ht="16" x14ac:dyDescent="0.2">
      <c r="A4" s="2" t="s">
        <v>688</v>
      </c>
      <c r="B4" s="4">
        <v>3098</v>
      </c>
      <c r="C4" s="2" t="s">
        <v>5</v>
      </c>
    </row>
    <row r="5" spans="1:3" ht="16" x14ac:dyDescent="0.2">
      <c r="A5" s="2" t="s">
        <v>689</v>
      </c>
      <c r="B5" s="4">
        <v>4829</v>
      </c>
      <c r="C5" s="2" t="s">
        <v>5</v>
      </c>
    </row>
    <row r="6" spans="1:3" ht="16" x14ac:dyDescent="0.2">
      <c r="A6" s="2" t="s">
        <v>690</v>
      </c>
      <c r="B6" s="4">
        <v>2421</v>
      </c>
      <c r="C6" s="2" t="s">
        <v>5</v>
      </c>
    </row>
    <row r="7" spans="1:3" ht="16" x14ac:dyDescent="0.2">
      <c r="A7" s="2" t="s">
        <v>691</v>
      </c>
      <c r="B7" s="4">
        <v>1641</v>
      </c>
      <c r="C7" s="2" t="s">
        <v>5</v>
      </c>
    </row>
    <row r="8" spans="1:3" ht="16" x14ac:dyDescent="0.2">
      <c r="A8" s="2" t="s">
        <v>898</v>
      </c>
      <c r="B8" s="4">
        <v>3068</v>
      </c>
      <c r="C8" s="2" t="s">
        <v>5</v>
      </c>
    </row>
    <row r="9" spans="1:3" ht="16" x14ac:dyDescent="0.2">
      <c r="A9" s="2" t="s">
        <v>300</v>
      </c>
      <c r="B9" s="5">
        <v>17003</v>
      </c>
      <c r="C9" s="5">
        <v>16105</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11"/>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1045</v>
      </c>
      <c r="B1" s="12" t="s">
        <v>2</v>
      </c>
      <c r="C1" s="12" t="s">
        <v>75</v>
      </c>
    </row>
    <row r="2" spans="1:3" ht="16" x14ac:dyDescent="0.2">
      <c r="A2" s="2" t="s">
        <v>1046</v>
      </c>
      <c r="B2" s="2" t="s">
        <v>5</v>
      </c>
      <c r="C2" s="2" t="s">
        <v>5</v>
      </c>
    </row>
    <row r="3" spans="1:3" ht="16" x14ac:dyDescent="0.2">
      <c r="A3" s="1" t="s">
        <v>1047</v>
      </c>
      <c r="B3" s="2" t="s">
        <v>5</v>
      </c>
      <c r="C3" s="2" t="s">
        <v>5</v>
      </c>
    </row>
    <row r="4" spans="1:3" ht="16" x14ac:dyDescent="0.2">
      <c r="A4" s="2" t="s">
        <v>1048</v>
      </c>
      <c r="B4" s="5">
        <v>404</v>
      </c>
      <c r="C4" s="5">
        <v>514</v>
      </c>
    </row>
    <row r="5" spans="1:3" ht="16" x14ac:dyDescent="0.2">
      <c r="A5" s="2" t="s">
        <v>1049</v>
      </c>
      <c r="B5" s="4">
        <v>404</v>
      </c>
      <c r="C5" s="4">
        <v>514</v>
      </c>
    </row>
    <row r="6" spans="1:3" ht="16" x14ac:dyDescent="0.2">
      <c r="A6" s="2" t="s">
        <v>1050</v>
      </c>
      <c r="B6" s="2" t="s">
        <v>111</v>
      </c>
      <c r="C6" s="2" t="s">
        <v>111</v>
      </c>
    </row>
    <row r="7" spans="1:3" ht="16" x14ac:dyDescent="0.2">
      <c r="A7" s="2" t="s">
        <v>1051</v>
      </c>
      <c r="B7" s="2" t="s">
        <v>5</v>
      </c>
      <c r="C7" s="2" t="s">
        <v>5</v>
      </c>
    </row>
    <row r="8" spans="1:3" ht="16" x14ac:dyDescent="0.2">
      <c r="A8" s="1" t="s">
        <v>1047</v>
      </c>
      <c r="B8" s="2" t="s">
        <v>5</v>
      </c>
      <c r="C8" s="2" t="s">
        <v>5</v>
      </c>
    </row>
    <row r="9" spans="1:3" ht="16" x14ac:dyDescent="0.2">
      <c r="A9" s="2" t="s">
        <v>1048</v>
      </c>
      <c r="B9" s="4">
        <v>15</v>
      </c>
      <c r="C9" s="4">
        <v>45</v>
      </c>
    </row>
    <row r="10" spans="1:3" ht="16" x14ac:dyDescent="0.2">
      <c r="A10" s="2" t="s">
        <v>1049</v>
      </c>
      <c r="B10" s="2" t="s">
        <v>111</v>
      </c>
      <c r="C10" s="2" t="s">
        <v>111</v>
      </c>
    </row>
    <row r="11" spans="1:3" ht="16" x14ac:dyDescent="0.2">
      <c r="A11" s="2" t="s">
        <v>1050</v>
      </c>
      <c r="B11" s="5">
        <v>14</v>
      </c>
      <c r="C11" s="5">
        <v>27</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E29"/>
  <sheetViews>
    <sheetView workbookViewId="0"/>
  </sheetViews>
  <sheetFormatPr baseColWidth="10" defaultColWidth="8.83203125" defaultRowHeight="15" x14ac:dyDescent="0.2"/>
  <cols>
    <col min="1" max="1" width="80" customWidth="1"/>
    <col min="2" max="2" width="15" customWidth="1"/>
    <col min="3" max="3" width="16" customWidth="1"/>
    <col min="4" max="5" width="14" customWidth="1"/>
  </cols>
  <sheetData>
    <row r="1" spans="1:5" ht="16" x14ac:dyDescent="0.2">
      <c r="A1" s="59" t="s">
        <v>1052</v>
      </c>
      <c r="B1" s="12" t="s">
        <v>396</v>
      </c>
      <c r="C1" s="61" t="s">
        <v>1</v>
      </c>
      <c r="D1" s="60"/>
      <c r="E1" s="60"/>
    </row>
    <row r="2" spans="1:5" ht="16" x14ac:dyDescent="0.2">
      <c r="A2" s="60"/>
      <c r="B2" s="12" t="s">
        <v>1053</v>
      </c>
      <c r="C2" s="12" t="s">
        <v>2</v>
      </c>
      <c r="D2" s="12" t="s">
        <v>75</v>
      </c>
      <c r="E2" s="12" t="s">
        <v>76</v>
      </c>
    </row>
    <row r="3" spans="1:5" ht="16" x14ac:dyDescent="0.2">
      <c r="A3" s="1" t="s">
        <v>1054</v>
      </c>
      <c r="B3" s="2" t="s">
        <v>5</v>
      </c>
      <c r="C3" s="2" t="s">
        <v>5</v>
      </c>
      <c r="D3" s="2" t="s">
        <v>5</v>
      </c>
      <c r="E3" s="2" t="s">
        <v>5</v>
      </c>
    </row>
    <row r="4" spans="1:5" ht="16" x14ac:dyDescent="0.2">
      <c r="A4" s="2" t="s">
        <v>1055</v>
      </c>
      <c r="B4" s="2" t="s">
        <v>5</v>
      </c>
      <c r="C4" s="2" t="s">
        <v>618</v>
      </c>
      <c r="D4" s="2" t="s">
        <v>5</v>
      </c>
      <c r="E4" s="2" t="s">
        <v>5</v>
      </c>
    </row>
    <row r="5" spans="1:5" ht="16" x14ac:dyDescent="0.2">
      <c r="A5" s="2" t="s">
        <v>1056</v>
      </c>
      <c r="B5" s="2" t="s">
        <v>5</v>
      </c>
      <c r="C5" s="5">
        <v>2560</v>
      </c>
      <c r="D5" s="5">
        <v>2650</v>
      </c>
      <c r="E5" s="5">
        <v>2790</v>
      </c>
    </row>
    <row r="6" spans="1:5" ht="16" x14ac:dyDescent="0.2">
      <c r="A6" s="2" t="s">
        <v>1057</v>
      </c>
      <c r="B6" s="2" t="s">
        <v>5</v>
      </c>
      <c r="C6" s="4">
        <v>2408</v>
      </c>
      <c r="D6" s="5">
        <v>2572</v>
      </c>
      <c r="E6" s="5">
        <v>2583</v>
      </c>
    </row>
    <row r="7" spans="1:5" ht="16" x14ac:dyDescent="0.2">
      <c r="A7" s="2" t="s">
        <v>1058</v>
      </c>
      <c r="B7" s="2" t="s">
        <v>5</v>
      </c>
      <c r="C7" s="2" t="s">
        <v>5</v>
      </c>
      <c r="D7" s="2" t="s">
        <v>5</v>
      </c>
      <c r="E7" s="2" t="s">
        <v>5</v>
      </c>
    </row>
    <row r="8" spans="1:5" ht="16" x14ac:dyDescent="0.2">
      <c r="A8" s="1" t="s">
        <v>1054</v>
      </c>
      <c r="B8" s="2" t="s">
        <v>5</v>
      </c>
      <c r="C8" s="2" t="s">
        <v>5</v>
      </c>
      <c r="D8" s="2" t="s">
        <v>5</v>
      </c>
      <c r="E8" s="2" t="s">
        <v>5</v>
      </c>
    </row>
    <row r="9" spans="1:5" ht="16" x14ac:dyDescent="0.2">
      <c r="A9" s="2" t="s">
        <v>1059</v>
      </c>
      <c r="B9" s="5">
        <v>3000</v>
      </c>
      <c r="C9" s="2" t="s">
        <v>5</v>
      </c>
      <c r="D9" s="2" t="s">
        <v>5</v>
      </c>
      <c r="E9" s="2" t="s">
        <v>5</v>
      </c>
    </row>
    <row r="10" spans="1:5" ht="16" x14ac:dyDescent="0.2">
      <c r="A10" s="2" t="s">
        <v>1055</v>
      </c>
      <c r="B10" s="2" t="s">
        <v>618</v>
      </c>
      <c r="C10" s="2" t="s">
        <v>5</v>
      </c>
      <c r="D10" s="2" t="s">
        <v>5</v>
      </c>
      <c r="E10" s="2" t="s">
        <v>5</v>
      </c>
    </row>
    <row r="11" spans="1:5" ht="16" x14ac:dyDescent="0.2">
      <c r="A11" s="2" t="s">
        <v>1060</v>
      </c>
      <c r="B11" s="2" t="s">
        <v>5</v>
      </c>
      <c r="C11" s="2" t="s">
        <v>5</v>
      </c>
      <c r="D11" s="2" t="s">
        <v>5</v>
      </c>
      <c r="E11" s="2" t="s">
        <v>5</v>
      </c>
    </row>
    <row r="12" spans="1:5" ht="16" x14ac:dyDescent="0.2">
      <c r="A12" s="1" t="s">
        <v>1054</v>
      </c>
      <c r="B12" s="2" t="s">
        <v>5</v>
      </c>
      <c r="C12" s="2" t="s">
        <v>5</v>
      </c>
      <c r="D12" s="2" t="s">
        <v>5</v>
      </c>
      <c r="E12" s="2" t="s">
        <v>5</v>
      </c>
    </row>
    <row r="13" spans="1:5" ht="16" x14ac:dyDescent="0.2">
      <c r="A13" s="2" t="s">
        <v>1059</v>
      </c>
      <c r="B13" s="5">
        <v>800</v>
      </c>
      <c r="C13" s="2" t="s">
        <v>5</v>
      </c>
      <c r="D13" s="2" t="s">
        <v>5</v>
      </c>
      <c r="E13" s="2" t="s">
        <v>5</v>
      </c>
    </row>
    <row r="14" spans="1:5" ht="16" x14ac:dyDescent="0.2">
      <c r="A14" s="2" t="s">
        <v>1055</v>
      </c>
      <c r="B14" s="2" t="s">
        <v>1061</v>
      </c>
      <c r="C14" s="2" t="s">
        <v>5</v>
      </c>
      <c r="D14" s="2" t="s">
        <v>5</v>
      </c>
      <c r="E14" s="2" t="s">
        <v>5</v>
      </c>
    </row>
    <row r="15" spans="1:5" ht="16" x14ac:dyDescent="0.2">
      <c r="A15" s="2" t="s">
        <v>1062</v>
      </c>
      <c r="B15" s="2" t="s">
        <v>5</v>
      </c>
      <c r="C15" s="2" t="s">
        <v>5</v>
      </c>
      <c r="D15" s="2" t="s">
        <v>5</v>
      </c>
      <c r="E15" s="2" t="s">
        <v>5</v>
      </c>
    </row>
    <row r="16" spans="1:5" ht="16" x14ac:dyDescent="0.2">
      <c r="A16" s="1" t="s">
        <v>1054</v>
      </c>
      <c r="B16" s="2" t="s">
        <v>5</v>
      </c>
      <c r="C16" s="2" t="s">
        <v>5</v>
      </c>
      <c r="D16" s="2" t="s">
        <v>5</v>
      </c>
      <c r="E16" s="2" t="s">
        <v>5</v>
      </c>
    </row>
    <row r="17" spans="1:5" ht="16" x14ac:dyDescent="0.2">
      <c r="A17" s="2" t="s">
        <v>1055</v>
      </c>
      <c r="B17" s="2" t="s">
        <v>1061</v>
      </c>
      <c r="C17" s="2" t="s">
        <v>5</v>
      </c>
      <c r="D17" s="2" t="s">
        <v>5</v>
      </c>
      <c r="E17" s="2" t="s">
        <v>5</v>
      </c>
    </row>
    <row r="18" spans="1:5" ht="16" x14ac:dyDescent="0.2">
      <c r="A18" s="2" t="s">
        <v>1063</v>
      </c>
      <c r="B18" s="2" t="s">
        <v>632</v>
      </c>
      <c r="C18" s="2" t="s">
        <v>5</v>
      </c>
      <c r="D18" s="2" t="s">
        <v>5</v>
      </c>
      <c r="E18" s="2" t="s">
        <v>5</v>
      </c>
    </row>
    <row r="19" spans="1:5" ht="16" x14ac:dyDescent="0.2">
      <c r="A19" s="2" t="s">
        <v>1064</v>
      </c>
      <c r="B19" s="2" t="s">
        <v>5</v>
      </c>
      <c r="C19" s="2" t="s">
        <v>5</v>
      </c>
      <c r="D19" s="2" t="s">
        <v>5</v>
      </c>
      <c r="E19" s="2" t="s">
        <v>5</v>
      </c>
    </row>
    <row r="20" spans="1:5" ht="16" x14ac:dyDescent="0.2">
      <c r="A20" s="1" t="s">
        <v>1054</v>
      </c>
      <c r="B20" s="2" t="s">
        <v>5</v>
      </c>
      <c r="C20" s="2" t="s">
        <v>5</v>
      </c>
      <c r="D20" s="2" t="s">
        <v>5</v>
      </c>
      <c r="E20" s="2" t="s">
        <v>5</v>
      </c>
    </row>
    <row r="21" spans="1:5" ht="16" x14ac:dyDescent="0.2">
      <c r="A21" s="2" t="s">
        <v>1059</v>
      </c>
      <c r="B21" s="5">
        <v>3000</v>
      </c>
      <c r="C21" s="2" t="s">
        <v>5</v>
      </c>
      <c r="D21" s="2" t="s">
        <v>5</v>
      </c>
      <c r="E21" s="2" t="s">
        <v>5</v>
      </c>
    </row>
    <row r="22" spans="1:5" ht="16" x14ac:dyDescent="0.2">
      <c r="A22" s="2" t="s">
        <v>1055</v>
      </c>
      <c r="B22" s="2" t="s">
        <v>621</v>
      </c>
      <c r="C22" s="2" t="s">
        <v>5</v>
      </c>
      <c r="D22" s="2" t="s">
        <v>5</v>
      </c>
      <c r="E22" s="2" t="s">
        <v>5</v>
      </c>
    </row>
    <row r="23" spans="1:5" ht="16" x14ac:dyDescent="0.2">
      <c r="A23" s="2" t="s">
        <v>1065</v>
      </c>
      <c r="B23" s="2" t="s">
        <v>5</v>
      </c>
      <c r="C23" s="2" t="s">
        <v>5</v>
      </c>
      <c r="D23" s="2" t="s">
        <v>5</v>
      </c>
      <c r="E23" s="2" t="s">
        <v>5</v>
      </c>
    </row>
    <row r="24" spans="1:5" ht="16" x14ac:dyDescent="0.2">
      <c r="A24" s="1" t="s">
        <v>1054</v>
      </c>
      <c r="B24" s="2" t="s">
        <v>5</v>
      </c>
      <c r="C24" s="2" t="s">
        <v>5</v>
      </c>
      <c r="D24" s="2" t="s">
        <v>5</v>
      </c>
      <c r="E24" s="2" t="s">
        <v>5</v>
      </c>
    </row>
    <row r="25" spans="1:5" ht="16" x14ac:dyDescent="0.2">
      <c r="A25" s="2" t="s">
        <v>1059</v>
      </c>
      <c r="B25" s="5">
        <v>3200</v>
      </c>
      <c r="C25" s="2" t="s">
        <v>5</v>
      </c>
      <c r="D25" s="2" t="s">
        <v>5</v>
      </c>
      <c r="E25" s="2" t="s">
        <v>5</v>
      </c>
    </row>
    <row r="26" spans="1:5" ht="16" x14ac:dyDescent="0.2">
      <c r="A26" s="2" t="s">
        <v>1055</v>
      </c>
      <c r="B26" s="2" t="s">
        <v>618</v>
      </c>
      <c r="C26" s="2" t="s">
        <v>5</v>
      </c>
      <c r="D26" s="2" t="s">
        <v>5</v>
      </c>
      <c r="E26" s="2" t="s">
        <v>5</v>
      </c>
    </row>
    <row r="27" spans="1:5" ht="16" x14ac:dyDescent="0.2">
      <c r="A27" s="2" t="s">
        <v>1066</v>
      </c>
      <c r="B27" s="2" t="s">
        <v>5</v>
      </c>
      <c r="C27" s="2" t="s">
        <v>5</v>
      </c>
      <c r="D27" s="2" t="s">
        <v>5</v>
      </c>
      <c r="E27" s="2" t="s">
        <v>5</v>
      </c>
    </row>
    <row r="28" spans="1:5" ht="16" x14ac:dyDescent="0.2">
      <c r="A28" s="1" t="s">
        <v>1054</v>
      </c>
      <c r="B28" s="2" t="s">
        <v>5</v>
      </c>
      <c r="C28" s="2" t="s">
        <v>5</v>
      </c>
      <c r="D28" s="2" t="s">
        <v>5</v>
      </c>
      <c r="E28" s="2" t="s">
        <v>5</v>
      </c>
    </row>
    <row r="29" spans="1:5" ht="16" x14ac:dyDescent="0.2">
      <c r="A29" s="2" t="s">
        <v>1059</v>
      </c>
      <c r="B29" s="2" t="s">
        <v>5</v>
      </c>
      <c r="C29" s="5">
        <v>10000</v>
      </c>
      <c r="D29" s="2" t="s">
        <v>5</v>
      </c>
      <c r="E29" s="2" t="s">
        <v>5</v>
      </c>
    </row>
  </sheetData>
  <mergeCells count="2">
    <mergeCell ref="A1:A2"/>
    <mergeCell ref="C1:E1"/>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7"/>
  <sheetViews>
    <sheetView workbookViewId="0"/>
  </sheetViews>
  <sheetFormatPr baseColWidth="10" defaultColWidth="8.83203125" defaultRowHeight="15" x14ac:dyDescent="0.2"/>
  <cols>
    <col min="1" max="1" width="80" customWidth="1"/>
    <col min="2" max="3" width="54" customWidth="1"/>
  </cols>
  <sheetData>
    <row r="1" spans="1:3" ht="32" x14ac:dyDescent="0.2">
      <c r="A1" s="11" t="s">
        <v>1067</v>
      </c>
      <c r="B1" s="12" t="s">
        <v>2</v>
      </c>
      <c r="C1" s="12" t="s">
        <v>75</v>
      </c>
    </row>
    <row r="2" spans="1:3" ht="16" x14ac:dyDescent="0.2">
      <c r="A2" s="1" t="s">
        <v>367</v>
      </c>
      <c r="B2" s="2" t="s">
        <v>5</v>
      </c>
      <c r="C2" s="2" t="s">
        <v>5</v>
      </c>
    </row>
    <row r="3" spans="1:3" ht="16" x14ac:dyDescent="0.2">
      <c r="A3" s="2" t="s">
        <v>1068</v>
      </c>
      <c r="B3" s="5">
        <v>5072</v>
      </c>
      <c r="C3" s="5">
        <v>5103</v>
      </c>
    </row>
    <row r="4" spans="1:3" ht="16" x14ac:dyDescent="0.2">
      <c r="A4" s="2" t="s">
        <v>1069</v>
      </c>
      <c r="B4" s="4">
        <v>77</v>
      </c>
      <c r="C4" s="4">
        <v>65</v>
      </c>
    </row>
    <row r="5" spans="1:3" ht="16" x14ac:dyDescent="0.2">
      <c r="A5" s="2" t="s">
        <v>1070</v>
      </c>
      <c r="B5" s="4">
        <v>55</v>
      </c>
      <c r="C5" s="4">
        <v>22</v>
      </c>
    </row>
    <row r="6" spans="1:3" ht="16" x14ac:dyDescent="0.2">
      <c r="A6" s="2" t="s">
        <v>182</v>
      </c>
      <c r="B6" s="5">
        <v>5204</v>
      </c>
      <c r="C6" s="5">
        <v>5190</v>
      </c>
    </row>
    <row r="7" spans="1:3" ht="16" x14ac:dyDescent="0.2">
      <c r="A7" s="2" t="s">
        <v>1071</v>
      </c>
      <c r="B7" s="2" t="s">
        <v>182</v>
      </c>
      <c r="C7" s="2" t="s">
        <v>182</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61"/>
  <sheetViews>
    <sheetView workbookViewId="0"/>
  </sheetViews>
  <sheetFormatPr baseColWidth="10" defaultColWidth="8.83203125" defaultRowHeight="15" x14ac:dyDescent="0.2"/>
  <cols>
    <col min="1" max="1" width="58" customWidth="1"/>
    <col min="2" max="3" width="14" customWidth="1"/>
  </cols>
  <sheetData>
    <row r="1" spans="1:3" ht="16" x14ac:dyDescent="0.2">
      <c r="A1" s="11" t="s">
        <v>1072</v>
      </c>
      <c r="B1" s="12" t="s">
        <v>2</v>
      </c>
      <c r="C1" s="12" t="s">
        <v>75</v>
      </c>
    </row>
    <row r="2" spans="1:3" ht="16" x14ac:dyDescent="0.2">
      <c r="A2" s="1" t="s">
        <v>1054</v>
      </c>
      <c r="B2" s="2" t="s">
        <v>5</v>
      </c>
      <c r="C2" s="2" t="s">
        <v>5</v>
      </c>
    </row>
    <row r="3" spans="1:3" ht="16" x14ac:dyDescent="0.2">
      <c r="A3" s="2" t="s">
        <v>1070</v>
      </c>
      <c r="B3" s="5">
        <v>370</v>
      </c>
      <c r="C3" s="5">
        <v>61</v>
      </c>
    </row>
    <row r="4" spans="1:3" ht="16" x14ac:dyDescent="0.2">
      <c r="A4" s="2" t="s">
        <v>1073</v>
      </c>
      <c r="B4" s="4">
        <v>52307</v>
      </c>
      <c r="C4" s="4">
        <v>57001</v>
      </c>
    </row>
    <row r="5" spans="1:3" ht="16" x14ac:dyDescent="0.2">
      <c r="A5" s="2" t="s">
        <v>1074</v>
      </c>
      <c r="B5" s="2" t="s">
        <v>5</v>
      </c>
      <c r="C5" s="2" t="s">
        <v>5</v>
      </c>
    </row>
    <row r="6" spans="1:3" ht="16" x14ac:dyDescent="0.2">
      <c r="A6" s="1" t="s">
        <v>1054</v>
      </c>
      <c r="B6" s="2" t="s">
        <v>5</v>
      </c>
      <c r="C6" s="2" t="s">
        <v>5</v>
      </c>
    </row>
    <row r="7" spans="1:3" ht="16" x14ac:dyDescent="0.2">
      <c r="A7" s="2" t="s">
        <v>1075</v>
      </c>
      <c r="B7" s="4">
        <v>10135</v>
      </c>
      <c r="C7" s="4">
        <v>11846</v>
      </c>
    </row>
    <row r="8" spans="1:3" ht="16" x14ac:dyDescent="0.2">
      <c r="A8" s="2" t="s">
        <v>1076</v>
      </c>
      <c r="B8" s="2" t="s">
        <v>5</v>
      </c>
      <c r="C8" s="2" t="s">
        <v>5</v>
      </c>
    </row>
    <row r="9" spans="1:3" ht="16" x14ac:dyDescent="0.2">
      <c r="A9" s="1" t="s">
        <v>1054</v>
      </c>
      <c r="B9" s="2" t="s">
        <v>5</v>
      </c>
      <c r="C9" s="2" t="s">
        <v>5</v>
      </c>
    </row>
    <row r="10" spans="1:3" ht="16" x14ac:dyDescent="0.2">
      <c r="A10" s="2" t="s">
        <v>1075</v>
      </c>
      <c r="B10" s="4">
        <v>6071</v>
      </c>
      <c r="C10" s="4">
        <v>6412</v>
      </c>
    </row>
    <row r="11" spans="1:3" ht="16" x14ac:dyDescent="0.2">
      <c r="A11" s="2" t="s">
        <v>1077</v>
      </c>
      <c r="B11" s="2" t="s">
        <v>5</v>
      </c>
      <c r="C11" s="2" t="s">
        <v>5</v>
      </c>
    </row>
    <row r="12" spans="1:3" ht="16" x14ac:dyDescent="0.2">
      <c r="A12" s="1" t="s">
        <v>1054</v>
      </c>
      <c r="B12" s="2" t="s">
        <v>5</v>
      </c>
      <c r="C12" s="2" t="s">
        <v>5</v>
      </c>
    </row>
    <row r="13" spans="1:3" ht="16" x14ac:dyDescent="0.2">
      <c r="A13" s="2" t="s">
        <v>1075</v>
      </c>
      <c r="B13" s="4">
        <v>9584</v>
      </c>
      <c r="C13" s="4">
        <v>9576</v>
      </c>
    </row>
    <row r="14" spans="1:3" ht="16" x14ac:dyDescent="0.2">
      <c r="A14" s="2" t="s">
        <v>1078</v>
      </c>
      <c r="B14" s="2" t="s">
        <v>5</v>
      </c>
      <c r="C14" s="2" t="s">
        <v>5</v>
      </c>
    </row>
    <row r="15" spans="1:3" ht="16" x14ac:dyDescent="0.2">
      <c r="A15" s="1" t="s">
        <v>1054</v>
      </c>
      <c r="B15" s="2" t="s">
        <v>5</v>
      </c>
      <c r="C15" s="2" t="s">
        <v>5</v>
      </c>
    </row>
    <row r="16" spans="1:3" ht="16" x14ac:dyDescent="0.2">
      <c r="A16" s="2" t="s">
        <v>1075</v>
      </c>
      <c r="B16" s="4">
        <v>11024</v>
      </c>
      <c r="C16" s="4">
        <v>14035</v>
      </c>
    </row>
    <row r="17" spans="1:3" ht="16" x14ac:dyDescent="0.2">
      <c r="A17" s="2" t="s">
        <v>1079</v>
      </c>
      <c r="B17" s="2" t="s">
        <v>5</v>
      </c>
      <c r="C17" s="2" t="s">
        <v>5</v>
      </c>
    </row>
    <row r="18" spans="1:3" ht="16" x14ac:dyDescent="0.2">
      <c r="A18" s="1" t="s">
        <v>1054</v>
      </c>
      <c r="B18" s="2" t="s">
        <v>5</v>
      </c>
      <c r="C18" s="2" t="s">
        <v>5</v>
      </c>
    </row>
    <row r="19" spans="1:3" ht="16" x14ac:dyDescent="0.2">
      <c r="A19" s="2" t="s">
        <v>1075</v>
      </c>
      <c r="B19" s="4">
        <v>13015</v>
      </c>
      <c r="C19" s="4">
        <v>13011</v>
      </c>
    </row>
    <row r="20" spans="1:3" ht="16" x14ac:dyDescent="0.2">
      <c r="A20" s="2" t="s">
        <v>1080</v>
      </c>
      <c r="B20" s="2" t="s">
        <v>5</v>
      </c>
      <c r="C20" s="2" t="s">
        <v>5</v>
      </c>
    </row>
    <row r="21" spans="1:3" ht="16" x14ac:dyDescent="0.2">
      <c r="A21" s="1" t="s">
        <v>1054</v>
      </c>
      <c r="B21" s="2" t="s">
        <v>5</v>
      </c>
      <c r="C21" s="2" t="s">
        <v>5</v>
      </c>
    </row>
    <row r="22" spans="1:3" ht="16" x14ac:dyDescent="0.2">
      <c r="A22" s="2" t="s">
        <v>1075</v>
      </c>
      <c r="B22" s="4">
        <v>1855</v>
      </c>
      <c r="C22" s="4">
        <v>1854</v>
      </c>
    </row>
    <row r="23" spans="1:3" ht="16" x14ac:dyDescent="0.2">
      <c r="A23" s="2" t="s">
        <v>1081</v>
      </c>
      <c r="B23" s="2" t="s">
        <v>5</v>
      </c>
      <c r="C23" s="2" t="s">
        <v>5</v>
      </c>
    </row>
    <row r="24" spans="1:3" ht="16" x14ac:dyDescent="0.2">
      <c r="A24" s="1" t="s">
        <v>1054</v>
      </c>
      <c r="B24" s="2" t="s">
        <v>5</v>
      </c>
      <c r="C24" s="2" t="s">
        <v>5</v>
      </c>
    </row>
    <row r="25" spans="1:3" ht="16" x14ac:dyDescent="0.2">
      <c r="A25" s="2" t="s">
        <v>1081</v>
      </c>
      <c r="B25" s="5">
        <v>253</v>
      </c>
      <c r="C25" s="5">
        <v>206</v>
      </c>
    </row>
    <row r="26" spans="1:3" ht="16" x14ac:dyDescent="0.2">
      <c r="A26" s="2" t="s">
        <v>1082</v>
      </c>
      <c r="B26" s="2" t="s">
        <v>5</v>
      </c>
      <c r="C26" s="2" t="s">
        <v>5</v>
      </c>
    </row>
    <row r="27" spans="1:3" ht="16" x14ac:dyDescent="0.2">
      <c r="A27" s="1" t="s">
        <v>1054</v>
      </c>
      <c r="B27" s="2" t="s">
        <v>5</v>
      </c>
      <c r="C27" s="2" t="s">
        <v>5</v>
      </c>
    </row>
    <row r="28" spans="1:3" ht="16" x14ac:dyDescent="0.2">
      <c r="A28" s="2" t="s">
        <v>1083</v>
      </c>
      <c r="B28" s="9">
        <v>1.17E-2</v>
      </c>
      <c r="C28" s="2" t="s">
        <v>5</v>
      </c>
    </row>
    <row r="29" spans="1:3" ht="16" x14ac:dyDescent="0.2">
      <c r="A29" s="2" t="s">
        <v>1084</v>
      </c>
      <c r="B29" s="2" t="s">
        <v>5</v>
      </c>
      <c r="C29" s="2" t="s">
        <v>5</v>
      </c>
    </row>
    <row r="30" spans="1:3" ht="16" x14ac:dyDescent="0.2">
      <c r="A30" s="1" t="s">
        <v>1054</v>
      </c>
      <c r="B30" s="2" t="s">
        <v>5</v>
      </c>
      <c r="C30" s="2" t="s">
        <v>5</v>
      </c>
    </row>
    <row r="31" spans="1:3" ht="16" x14ac:dyDescent="0.2">
      <c r="A31" s="2" t="s">
        <v>1083</v>
      </c>
      <c r="B31" s="9">
        <v>2.5999999999999999E-2</v>
      </c>
      <c r="C31" s="2" t="s">
        <v>5</v>
      </c>
    </row>
    <row r="32" spans="1:3" ht="16" x14ac:dyDescent="0.2">
      <c r="A32" s="2" t="s">
        <v>1085</v>
      </c>
      <c r="B32" s="2" t="s">
        <v>5</v>
      </c>
      <c r="C32" s="2" t="s">
        <v>5</v>
      </c>
    </row>
    <row r="33" spans="1:3" ht="16" x14ac:dyDescent="0.2">
      <c r="A33" s="1" t="s">
        <v>1054</v>
      </c>
      <c r="B33" s="2" t="s">
        <v>5</v>
      </c>
      <c r="C33" s="2" t="s">
        <v>5</v>
      </c>
    </row>
    <row r="34" spans="1:3" ht="16" x14ac:dyDescent="0.2">
      <c r="A34" s="2" t="s">
        <v>1083</v>
      </c>
      <c r="B34" s="9">
        <v>3.2500000000000001E-2</v>
      </c>
      <c r="C34" s="2" t="s">
        <v>5</v>
      </c>
    </row>
    <row r="35" spans="1:3" ht="16" x14ac:dyDescent="0.2">
      <c r="A35" s="2" t="s">
        <v>1086</v>
      </c>
      <c r="B35" s="2" t="s">
        <v>5</v>
      </c>
      <c r="C35" s="2" t="s">
        <v>5</v>
      </c>
    </row>
    <row r="36" spans="1:3" ht="16" x14ac:dyDescent="0.2">
      <c r="A36" s="1" t="s">
        <v>1054</v>
      </c>
      <c r="B36" s="2" t="s">
        <v>5</v>
      </c>
      <c r="C36" s="2" t="s">
        <v>5</v>
      </c>
    </row>
    <row r="37" spans="1:3" ht="16" x14ac:dyDescent="0.2">
      <c r="A37" s="2" t="s">
        <v>1083</v>
      </c>
      <c r="B37" s="9">
        <v>3.95E-2</v>
      </c>
      <c r="C37" s="2" t="s">
        <v>5</v>
      </c>
    </row>
    <row r="38" spans="1:3" ht="16" x14ac:dyDescent="0.2">
      <c r="A38" s="2" t="s">
        <v>1087</v>
      </c>
      <c r="B38" s="2" t="s">
        <v>5</v>
      </c>
      <c r="C38" s="2" t="s">
        <v>5</v>
      </c>
    </row>
    <row r="39" spans="1:3" ht="16" x14ac:dyDescent="0.2">
      <c r="A39" s="1" t="s">
        <v>1054</v>
      </c>
      <c r="B39" s="2" t="s">
        <v>5</v>
      </c>
      <c r="C39" s="2" t="s">
        <v>5</v>
      </c>
    </row>
    <row r="40" spans="1:3" ht="16" x14ac:dyDescent="0.2">
      <c r="A40" s="2" t="s">
        <v>1083</v>
      </c>
      <c r="B40" s="9">
        <v>5.7099999999999998E-2</v>
      </c>
      <c r="C40" s="2" t="s">
        <v>5</v>
      </c>
    </row>
    <row r="41" spans="1:3" ht="16" x14ac:dyDescent="0.2">
      <c r="A41" s="2" t="s">
        <v>1088</v>
      </c>
      <c r="B41" s="2" t="s">
        <v>5</v>
      </c>
      <c r="C41" s="2" t="s">
        <v>5</v>
      </c>
    </row>
    <row r="42" spans="1:3" ht="16" x14ac:dyDescent="0.2">
      <c r="A42" s="1" t="s">
        <v>1054</v>
      </c>
      <c r="B42" s="2" t="s">
        <v>5</v>
      </c>
      <c r="C42" s="2" t="s">
        <v>5</v>
      </c>
    </row>
    <row r="43" spans="1:3" ht="16" x14ac:dyDescent="0.2">
      <c r="A43" s="2" t="s">
        <v>1083</v>
      </c>
      <c r="B43" s="9">
        <v>6.88E-2</v>
      </c>
      <c r="C43" s="2" t="s">
        <v>5</v>
      </c>
    </row>
    <row r="44" spans="1:3" ht="16" x14ac:dyDescent="0.2">
      <c r="A44" s="2" t="s">
        <v>1089</v>
      </c>
      <c r="B44" s="2" t="s">
        <v>5</v>
      </c>
      <c r="C44" s="2" t="s">
        <v>5</v>
      </c>
    </row>
    <row r="45" spans="1:3" ht="16" x14ac:dyDescent="0.2">
      <c r="A45" s="1" t="s">
        <v>1054</v>
      </c>
      <c r="B45" s="2" t="s">
        <v>5</v>
      </c>
      <c r="C45" s="2" t="s">
        <v>5</v>
      </c>
    </row>
    <row r="46" spans="1:3" ht="16" x14ac:dyDescent="0.2">
      <c r="A46" s="2" t="s">
        <v>1083</v>
      </c>
      <c r="B46" s="9">
        <v>2.5000000000000001E-2</v>
      </c>
      <c r="C46" s="2" t="s">
        <v>5</v>
      </c>
    </row>
    <row r="47" spans="1:3" ht="16" x14ac:dyDescent="0.2">
      <c r="A47" s="2" t="s">
        <v>1090</v>
      </c>
      <c r="B47" s="2" t="s">
        <v>5</v>
      </c>
      <c r="C47" s="2" t="s">
        <v>5</v>
      </c>
    </row>
    <row r="48" spans="1:3" ht="16" x14ac:dyDescent="0.2">
      <c r="A48" s="1" t="s">
        <v>1054</v>
      </c>
      <c r="B48" s="2" t="s">
        <v>5</v>
      </c>
      <c r="C48" s="2" t="s">
        <v>5</v>
      </c>
    </row>
    <row r="49" spans="1:3" ht="16" x14ac:dyDescent="0.2">
      <c r="A49" s="2" t="s">
        <v>1083</v>
      </c>
      <c r="B49" s="9">
        <v>3.2000000000000001E-2</v>
      </c>
      <c r="C49" s="2" t="s">
        <v>5</v>
      </c>
    </row>
    <row r="50" spans="1:3" ht="16" x14ac:dyDescent="0.2">
      <c r="A50" s="2" t="s">
        <v>1091</v>
      </c>
      <c r="B50" s="2" t="s">
        <v>5</v>
      </c>
      <c r="C50" s="2" t="s">
        <v>5</v>
      </c>
    </row>
    <row r="51" spans="1:3" ht="16" x14ac:dyDescent="0.2">
      <c r="A51" s="1" t="s">
        <v>1054</v>
      </c>
      <c r="B51" s="2" t="s">
        <v>5</v>
      </c>
      <c r="C51" s="2" t="s">
        <v>5</v>
      </c>
    </row>
    <row r="52" spans="1:3" ht="16" x14ac:dyDescent="0.2">
      <c r="A52" s="2" t="s">
        <v>1083</v>
      </c>
      <c r="B52" s="9">
        <v>3.9E-2</v>
      </c>
      <c r="C52" s="2" t="s">
        <v>5</v>
      </c>
    </row>
    <row r="53" spans="1:3" ht="16" x14ac:dyDescent="0.2">
      <c r="A53" s="2" t="s">
        <v>1092</v>
      </c>
      <c r="B53" s="2" t="s">
        <v>5</v>
      </c>
      <c r="C53" s="2" t="s">
        <v>5</v>
      </c>
    </row>
    <row r="54" spans="1:3" ht="16" x14ac:dyDescent="0.2">
      <c r="A54" s="1" t="s">
        <v>1054</v>
      </c>
      <c r="B54" s="2" t="s">
        <v>5</v>
      </c>
      <c r="C54" s="2" t="s">
        <v>5</v>
      </c>
    </row>
    <row r="55" spans="1:3" ht="16" x14ac:dyDescent="0.2">
      <c r="A55" s="2" t="s">
        <v>1083</v>
      </c>
      <c r="B55" s="9">
        <v>5.1499999999999997E-2</v>
      </c>
      <c r="C55" s="2" t="s">
        <v>5</v>
      </c>
    </row>
    <row r="56" spans="1:3" ht="16" x14ac:dyDescent="0.2">
      <c r="A56" s="2" t="s">
        <v>1093</v>
      </c>
      <c r="B56" s="2" t="s">
        <v>5</v>
      </c>
      <c r="C56" s="2" t="s">
        <v>5</v>
      </c>
    </row>
    <row r="57" spans="1:3" ht="16" x14ac:dyDescent="0.2">
      <c r="A57" s="1" t="s">
        <v>1054</v>
      </c>
      <c r="B57" s="2" t="s">
        <v>5</v>
      </c>
      <c r="C57" s="2" t="s">
        <v>5</v>
      </c>
    </row>
    <row r="58" spans="1:3" ht="16" x14ac:dyDescent="0.2">
      <c r="A58" s="2" t="s">
        <v>1083</v>
      </c>
      <c r="B58" s="9">
        <v>6.6299999999999998E-2</v>
      </c>
      <c r="C58" s="2" t="s">
        <v>5</v>
      </c>
    </row>
    <row r="59" spans="1:3" ht="16" x14ac:dyDescent="0.2">
      <c r="A59" s="2" t="s">
        <v>1094</v>
      </c>
      <c r="B59" s="2" t="s">
        <v>5</v>
      </c>
      <c r="C59" s="2" t="s">
        <v>5</v>
      </c>
    </row>
    <row r="60" spans="1:3" ht="16" x14ac:dyDescent="0.2">
      <c r="A60" s="1" t="s">
        <v>1054</v>
      </c>
      <c r="B60" s="2" t="s">
        <v>5</v>
      </c>
      <c r="C60" s="2" t="s">
        <v>5</v>
      </c>
    </row>
    <row r="61" spans="1:3" ht="16" x14ac:dyDescent="0.2">
      <c r="A61" s="2" t="s">
        <v>1083</v>
      </c>
      <c r="B61" s="9">
        <v>8.7499999999999994E-2</v>
      </c>
      <c r="C61" s="2" t="s">
        <v>5</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B13"/>
  <sheetViews>
    <sheetView workbookViewId="0"/>
  </sheetViews>
  <sheetFormatPr baseColWidth="10" defaultColWidth="8.83203125" defaultRowHeight="15" x14ac:dyDescent="0.2"/>
  <cols>
    <col min="1" max="1" width="80" customWidth="1"/>
    <col min="2" max="2" width="22" customWidth="1"/>
  </cols>
  <sheetData>
    <row r="1" spans="1:2" ht="16" x14ac:dyDescent="0.2">
      <c r="A1" s="11" t="s">
        <v>1095</v>
      </c>
      <c r="B1" s="12" t="s">
        <v>686</v>
      </c>
    </row>
    <row r="2" spans="1:2" ht="16" x14ac:dyDescent="0.2">
      <c r="A2" s="1" t="s">
        <v>1096</v>
      </c>
      <c r="B2" s="2" t="s">
        <v>5</v>
      </c>
    </row>
    <row r="3" spans="1:2" ht="16" x14ac:dyDescent="0.2">
      <c r="A3" s="2" t="s">
        <v>687</v>
      </c>
      <c r="B3" s="5">
        <v>5128</v>
      </c>
    </row>
    <row r="4" spans="1:2" ht="16" x14ac:dyDescent="0.2">
      <c r="A4" s="2" t="s">
        <v>688</v>
      </c>
      <c r="B4" s="4">
        <v>4581</v>
      </c>
    </row>
    <row r="5" spans="1:2" ht="16" x14ac:dyDescent="0.2">
      <c r="A5" s="2" t="s">
        <v>689</v>
      </c>
      <c r="B5" s="4">
        <v>7983</v>
      </c>
    </row>
    <row r="6" spans="1:2" ht="16" x14ac:dyDescent="0.2">
      <c r="A6" s="2" t="s">
        <v>690</v>
      </c>
      <c r="B6" s="4">
        <v>3300</v>
      </c>
    </row>
    <row r="7" spans="1:2" ht="16" x14ac:dyDescent="0.2">
      <c r="A7" s="2" t="s">
        <v>691</v>
      </c>
      <c r="B7" s="4">
        <v>1800</v>
      </c>
    </row>
    <row r="8" spans="1:2" ht="16" x14ac:dyDescent="0.2">
      <c r="A8" s="1" t="s">
        <v>1097</v>
      </c>
      <c r="B8" s="2" t="s">
        <v>5</v>
      </c>
    </row>
    <row r="9" spans="1:2" ht="16" x14ac:dyDescent="0.2">
      <c r="A9" s="2" t="s">
        <v>687</v>
      </c>
      <c r="B9" s="4">
        <v>84</v>
      </c>
    </row>
    <row r="10" spans="1:2" ht="16" x14ac:dyDescent="0.2">
      <c r="A10" s="2" t="s">
        <v>688</v>
      </c>
      <c r="B10" s="4">
        <v>76</v>
      </c>
    </row>
    <row r="11" spans="1:2" ht="16" x14ac:dyDescent="0.2">
      <c r="A11" s="2" t="s">
        <v>689</v>
      </c>
      <c r="B11" s="4">
        <v>55</v>
      </c>
    </row>
    <row r="12" spans="1:2" ht="16" x14ac:dyDescent="0.2">
      <c r="A12" s="2" t="s">
        <v>690</v>
      </c>
      <c r="B12" s="4">
        <v>24</v>
      </c>
    </row>
    <row r="13" spans="1:2" ht="16" x14ac:dyDescent="0.2">
      <c r="A13" s="2" t="s">
        <v>691</v>
      </c>
      <c r="B13" s="5">
        <v>3</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D38"/>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1098</v>
      </c>
      <c r="B1" s="61" t="s">
        <v>1</v>
      </c>
      <c r="C1" s="60"/>
      <c r="D1" s="60"/>
    </row>
    <row r="2" spans="1:4" ht="16" x14ac:dyDescent="0.2">
      <c r="A2" s="60"/>
      <c r="B2" s="12" t="s">
        <v>2</v>
      </c>
      <c r="C2" s="12" t="s">
        <v>75</v>
      </c>
      <c r="D2" s="12" t="s">
        <v>76</v>
      </c>
    </row>
    <row r="3" spans="1:4" ht="16" x14ac:dyDescent="0.2">
      <c r="A3" s="2" t="s">
        <v>1099</v>
      </c>
      <c r="B3" s="2" t="s">
        <v>5</v>
      </c>
      <c r="C3" s="2" t="s">
        <v>5</v>
      </c>
      <c r="D3" s="2" t="s">
        <v>5</v>
      </c>
    </row>
    <row r="4" spans="1:4" ht="16" x14ac:dyDescent="0.2">
      <c r="A4" s="1" t="s">
        <v>1100</v>
      </c>
      <c r="B4" s="2" t="s">
        <v>5</v>
      </c>
      <c r="C4" s="2" t="s">
        <v>5</v>
      </c>
      <c r="D4" s="2" t="s">
        <v>5</v>
      </c>
    </row>
    <row r="5" spans="1:4" ht="16" x14ac:dyDescent="0.2">
      <c r="A5" s="2" t="s">
        <v>1101</v>
      </c>
      <c r="B5" s="5">
        <v>2</v>
      </c>
      <c r="C5" s="5">
        <v>3</v>
      </c>
      <c r="D5" s="5">
        <v>3</v>
      </c>
    </row>
    <row r="6" spans="1:4" ht="16" x14ac:dyDescent="0.2">
      <c r="A6" s="2" t="s">
        <v>1102</v>
      </c>
      <c r="B6" s="4">
        <v>2820</v>
      </c>
      <c r="C6" s="4">
        <v>2080</v>
      </c>
      <c r="D6" s="4">
        <v>1988</v>
      </c>
    </row>
    <row r="7" spans="1:4" ht="16" x14ac:dyDescent="0.2">
      <c r="A7" s="2" t="s">
        <v>1103</v>
      </c>
      <c r="B7" s="4">
        <v>-3441</v>
      </c>
      <c r="C7" s="4">
        <v>-3789</v>
      </c>
      <c r="D7" s="4">
        <v>-3848</v>
      </c>
    </row>
    <row r="8" spans="1:4" ht="16" x14ac:dyDescent="0.2">
      <c r="A8" s="2" t="s">
        <v>1104</v>
      </c>
      <c r="B8" s="4">
        <v>-81</v>
      </c>
      <c r="C8" s="4">
        <v>-81</v>
      </c>
      <c r="D8" s="4">
        <v>-80</v>
      </c>
    </row>
    <row r="9" spans="1:4" ht="16" x14ac:dyDescent="0.2">
      <c r="A9" s="2" t="s">
        <v>1105</v>
      </c>
      <c r="B9" s="4">
        <v>173</v>
      </c>
      <c r="C9" s="4">
        <v>913</v>
      </c>
      <c r="D9" s="4">
        <v>1219</v>
      </c>
    </row>
    <row r="10" spans="1:4" ht="16" x14ac:dyDescent="0.2">
      <c r="A10" s="2" t="s">
        <v>1106</v>
      </c>
      <c r="B10" s="2" t="s">
        <v>111</v>
      </c>
      <c r="C10" s="4">
        <v>-4</v>
      </c>
      <c r="D10" s="4">
        <v>193</v>
      </c>
    </row>
    <row r="11" spans="1:4" ht="16" x14ac:dyDescent="0.2">
      <c r="A11" s="2" t="s">
        <v>1107</v>
      </c>
      <c r="B11" s="4">
        <v>-527</v>
      </c>
      <c r="C11" s="4">
        <v>-878</v>
      </c>
      <c r="D11" s="4">
        <v>-525</v>
      </c>
    </row>
    <row r="12" spans="1:4" ht="16" x14ac:dyDescent="0.2">
      <c r="A12" s="2" t="s">
        <v>1108</v>
      </c>
      <c r="B12" s="2" t="s">
        <v>5</v>
      </c>
      <c r="C12" s="2" t="s">
        <v>5</v>
      </c>
      <c r="D12" s="2" t="s">
        <v>5</v>
      </c>
    </row>
    <row r="13" spans="1:4" ht="16" x14ac:dyDescent="0.2">
      <c r="A13" s="1" t="s">
        <v>1100</v>
      </c>
      <c r="B13" s="2" t="s">
        <v>5</v>
      </c>
      <c r="C13" s="2" t="s">
        <v>5</v>
      </c>
      <c r="D13" s="2" t="s">
        <v>5</v>
      </c>
    </row>
    <row r="14" spans="1:4" ht="16" x14ac:dyDescent="0.2">
      <c r="A14" s="2" t="s">
        <v>1101</v>
      </c>
      <c r="B14" s="4">
        <v>49</v>
      </c>
      <c r="C14" s="4">
        <v>72</v>
      </c>
      <c r="D14" s="4">
        <v>87</v>
      </c>
    </row>
    <row r="15" spans="1:4" ht="16" x14ac:dyDescent="0.2">
      <c r="A15" s="2" t="s">
        <v>1102</v>
      </c>
      <c r="B15" s="4">
        <v>148</v>
      </c>
      <c r="C15" s="4">
        <v>98</v>
      </c>
      <c r="D15" s="4">
        <v>97</v>
      </c>
    </row>
    <row r="16" spans="1:4" ht="16" x14ac:dyDescent="0.2">
      <c r="A16" s="2" t="s">
        <v>1103</v>
      </c>
      <c r="B16" s="4">
        <v>-9</v>
      </c>
      <c r="C16" s="4">
        <v>-10</v>
      </c>
      <c r="D16" s="4">
        <v>-7</v>
      </c>
    </row>
    <row r="17" spans="1:4" ht="16" x14ac:dyDescent="0.2">
      <c r="A17" s="2" t="s">
        <v>1104</v>
      </c>
      <c r="B17" s="4">
        <v>-22</v>
      </c>
      <c r="C17" s="4">
        <v>-35</v>
      </c>
      <c r="D17" s="4">
        <v>-35</v>
      </c>
    </row>
    <row r="18" spans="1:4" ht="16" x14ac:dyDescent="0.2">
      <c r="A18" s="2" t="s">
        <v>1105</v>
      </c>
      <c r="B18" s="4">
        <v>-175</v>
      </c>
      <c r="C18" s="4">
        <v>-111</v>
      </c>
      <c r="D18" s="4">
        <v>-56</v>
      </c>
    </row>
    <row r="19" spans="1:4" ht="16" x14ac:dyDescent="0.2">
      <c r="A19" s="2" t="s">
        <v>1106</v>
      </c>
      <c r="B19" s="2" t="s">
        <v>111</v>
      </c>
      <c r="C19" s="2" t="s">
        <v>111</v>
      </c>
      <c r="D19" s="2" t="s">
        <v>111</v>
      </c>
    </row>
    <row r="20" spans="1:4" ht="16" x14ac:dyDescent="0.2">
      <c r="A20" s="2" t="s">
        <v>1107</v>
      </c>
      <c r="B20" s="4">
        <v>-9</v>
      </c>
      <c r="C20" s="4">
        <v>14</v>
      </c>
      <c r="D20" s="4">
        <v>86</v>
      </c>
    </row>
    <row r="21" spans="1:4" ht="16" x14ac:dyDescent="0.2">
      <c r="A21" s="2" t="s">
        <v>1109</v>
      </c>
      <c r="B21" s="2" t="s">
        <v>5</v>
      </c>
      <c r="C21" s="2" t="s">
        <v>5</v>
      </c>
      <c r="D21" s="2" t="s">
        <v>5</v>
      </c>
    </row>
    <row r="22" spans="1:4" ht="16" x14ac:dyDescent="0.2">
      <c r="A22" s="1" t="s">
        <v>1100</v>
      </c>
      <c r="B22" s="2" t="s">
        <v>5</v>
      </c>
      <c r="C22" s="2" t="s">
        <v>5</v>
      </c>
      <c r="D22" s="2" t="s">
        <v>5</v>
      </c>
    </row>
    <row r="23" spans="1:4" ht="32" x14ac:dyDescent="0.2">
      <c r="A23" s="2" t="s">
        <v>1110</v>
      </c>
      <c r="B23" s="4">
        <v>2</v>
      </c>
      <c r="C23" s="4">
        <v>3</v>
      </c>
      <c r="D23" s="4">
        <v>3</v>
      </c>
    </row>
    <row r="24" spans="1:4" ht="16" x14ac:dyDescent="0.2">
      <c r="A24" s="2" t="s">
        <v>1111</v>
      </c>
      <c r="B24" s="2" t="s">
        <v>5</v>
      </c>
      <c r="C24" s="2" t="s">
        <v>5</v>
      </c>
      <c r="D24" s="2" t="s">
        <v>5</v>
      </c>
    </row>
    <row r="25" spans="1:4" ht="16" x14ac:dyDescent="0.2">
      <c r="A25" s="1" t="s">
        <v>1100</v>
      </c>
      <c r="B25" s="2" t="s">
        <v>5</v>
      </c>
      <c r="C25" s="2" t="s">
        <v>5</v>
      </c>
      <c r="D25" s="2" t="s">
        <v>5</v>
      </c>
    </row>
    <row r="26" spans="1:4" ht="32" x14ac:dyDescent="0.2">
      <c r="A26" s="2" t="s">
        <v>1110</v>
      </c>
      <c r="B26" s="4">
        <v>62</v>
      </c>
      <c r="C26" s="4">
        <v>79</v>
      </c>
      <c r="D26" s="4">
        <v>90</v>
      </c>
    </row>
    <row r="27" spans="1:4" ht="16" x14ac:dyDescent="0.2">
      <c r="A27" s="2" t="s">
        <v>1112</v>
      </c>
      <c r="B27" s="2" t="s">
        <v>5</v>
      </c>
      <c r="C27" s="2" t="s">
        <v>5</v>
      </c>
      <c r="D27" s="2" t="s">
        <v>5</v>
      </c>
    </row>
    <row r="28" spans="1:4" ht="16" x14ac:dyDescent="0.2">
      <c r="A28" s="1" t="s">
        <v>1100</v>
      </c>
      <c r="B28" s="2" t="s">
        <v>5</v>
      </c>
      <c r="C28" s="2" t="s">
        <v>5</v>
      </c>
      <c r="D28" s="2" t="s">
        <v>5</v>
      </c>
    </row>
    <row r="29" spans="1:4" ht="32" x14ac:dyDescent="0.2">
      <c r="A29" s="2" t="s">
        <v>1110</v>
      </c>
      <c r="B29" s="4">
        <v>-529</v>
      </c>
      <c r="C29" s="4">
        <v>-881</v>
      </c>
      <c r="D29" s="4">
        <v>-528</v>
      </c>
    </row>
    <row r="30" spans="1:4" ht="16" x14ac:dyDescent="0.2">
      <c r="A30" s="2" t="s">
        <v>1113</v>
      </c>
      <c r="B30" s="2" t="s">
        <v>5</v>
      </c>
      <c r="C30" s="2" t="s">
        <v>5</v>
      </c>
      <c r="D30" s="2" t="s">
        <v>5</v>
      </c>
    </row>
    <row r="31" spans="1:4" ht="16" x14ac:dyDescent="0.2">
      <c r="A31" s="1" t="s">
        <v>1100</v>
      </c>
      <c r="B31" s="2" t="s">
        <v>5</v>
      </c>
      <c r="C31" s="2" t="s">
        <v>5</v>
      </c>
      <c r="D31" s="2" t="s">
        <v>5</v>
      </c>
    </row>
    <row r="32" spans="1:4" ht="32" x14ac:dyDescent="0.2">
      <c r="A32" s="2" t="s">
        <v>1110</v>
      </c>
      <c r="B32" s="4">
        <v>-58</v>
      </c>
      <c r="C32" s="4">
        <v>-58</v>
      </c>
      <c r="D32" s="4">
        <v>-1</v>
      </c>
    </row>
    <row r="33" spans="1:4" ht="16" x14ac:dyDescent="0.2">
      <c r="A33" s="2" t="s">
        <v>1114</v>
      </c>
      <c r="B33" s="2" t="s">
        <v>5</v>
      </c>
      <c r="C33" s="2" t="s">
        <v>5</v>
      </c>
      <c r="D33" s="2" t="s">
        <v>5</v>
      </c>
    </row>
    <row r="34" spans="1:4" ht="16" x14ac:dyDescent="0.2">
      <c r="A34" s="1" t="s">
        <v>1100</v>
      </c>
      <c r="B34" s="2" t="s">
        <v>5</v>
      </c>
      <c r="C34" s="2" t="s">
        <v>5</v>
      </c>
      <c r="D34" s="2" t="s">
        <v>5</v>
      </c>
    </row>
    <row r="35" spans="1:4" ht="32" x14ac:dyDescent="0.2">
      <c r="A35" s="2" t="s">
        <v>1110</v>
      </c>
      <c r="B35" s="4">
        <v>-527</v>
      </c>
      <c r="C35" s="4">
        <v>-878</v>
      </c>
      <c r="D35" s="4">
        <v>-525</v>
      </c>
    </row>
    <row r="36" spans="1:4" ht="16" x14ac:dyDescent="0.2">
      <c r="A36" s="2" t="s">
        <v>1115</v>
      </c>
      <c r="B36" s="2" t="s">
        <v>5</v>
      </c>
      <c r="C36" s="2" t="s">
        <v>5</v>
      </c>
      <c r="D36" s="2" t="s">
        <v>5</v>
      </c>
    </row>
    <row r="37" spans="1:4" ht="16" x14ac:dyDescent="0.2">
      <c r="A37" s="1" t="s">
        <v>1100</v>
      </c>
      <c r="B37" s="2" t="s">
        <v>5</v>
      </c>
      <c r="C37" s="2" t="s">
        <v>5</v>
      </c>
      <c r="D37" s="2" t="s">
        <v>5</v>
      </c>
    </row>
    <row r="38" spans="1:4" ht="32" x14ac:dyDescent="0.2">
      <c r="A38" s="2" t="s">
        <v>1110</v>
      </c>
      <c r="B38" s="5">
        <v>4</v>
      </c>
      <c r="C38" s="5">
        <v>21</v>
      </c>
      <c r="D38" s="5">
        <v>89</v>
      </c>
    </row>
  </sheetData>
  <mergeCells count="2">
    <mergeCell ref="A1:A2"/>
    <mergeCell ref="B1:D1"/>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E56"/>
  <sheetViews>
    <sheetView workbookViewId="0"/>
  </sheetViews>
  <sheetFormatPr baseColWidth="10" defaultColWidth="8.83203125" defaultRowHeight="15" x14ac:dyDescent="0.2"/>
  <cols>
    <col min="1" max="1" width="80" customWidth="1"/>
    <col min="2" max="2" width="15" customWidth="1"/>
    <col min="3" max="3" width="16" customWidth="1"/>
    <col min="4" max="5" width="14" customWidth="1"/>
  </cols>
  <sheetData>
    <row r="1" spans="1:5" ht="16" x14ac:dyDescent="0.2">
      <c r="A1" s="59" t="s">
        <v>1116</v>
      </c>
      <c r="B1" s="12" t="s">
        <v>1117</v>
      </c>
      <c r="C1" s="61" t="s">
        <v>1</v>
      </c>
      <c r="D1" s="60"/>
      <c r="E1" s="60"/>
    </row>
    <row r="2" spans="1:5" ht="16" x14ac:dyDescent="0.2">
      <c r="A2" s="60"/>
      <c r="B2" s="12" t="s">
        <v>1118</v>
      </c>
      <c r="C2" s="12" t="s">
        <v>2</v>
      </c>
      <c r="D2" s="12" t="s">
        <v>75</v>
      </c>
      <c r="E2" s="12" t="s">
        <v>76</v>
      </c>
    </row>
    <row r="3" spans="1:5" ht="16" x14ac:dyDescent="0.2">
      <c r="A3" s="1" t="s">
        <v>1119</v>
      </c>
      <c r="B3" s="2" t="s">
        <v>5</v>
      </c>
      <c r="C3" s="2" t="s">
        <v>5</v>
      </c>
      <c r="D3" s="2" t="s">
        <v>5</v>
      </c>
      <c r="E3" s="2" t="s">
        <v>5</v>
      </c>
    </row>
    <row r="4" spans="1:5" ht="16" x14ac:dyDescent="0.2">
      <c r="A4" s="2" t="s">
        <v>1120</v>
      </c>
      <c r="B4" s="5">
        <v>3000</v>
      </c>
      <c r="C4" s="2" t="s">
        <v>5</v>
      </c>
      <c r="D4" s="2" t="s">
        <v>5</v>
      </c>
      <c r="E4" s="2" t="s">
        <v>5</v>
      </c>
    </row>
    <row r="5" spans="1:5" ht="32" x14ac:dyDescent="0.2">
      <c r="A5" s="1" t="s">
        <v>1121</v>
      </c>
      <c r="B5" s="2" t="s">
        <v>5</v>
      </c>
      <c r="C5" s="2" t="s">
        <v>5</v>
      </c>
      <c r="D5" s="2" t="s">
        <v>5</v>
      </c>
      <c r="E5" s="2" t="s">
        <v>5</v>
      </c>
    </row>
    <row r="6" spans="1:5" ht="16" x14ac:dyDescent="0.2">
      <c r="A6" s="2" t="s">
        <v>185</v>
      </c>
      <c r="B6" s="2" t="s">
        <v>5</v>
      </c>
      <c r="C6" s="5">
        <v>-6516</v>
      </c>
      <c r="D6" s="5">
        <v>-6141</v>
      </c>
      <c r="E6" s="2" t="s">
        <v>5</v>
      </c>
    </row>
    <row r="7" spans="1:5" ht="16" x14ac:dyDescent="0.2">
      <c r="A7" s="2" t="s">
        <v>1099</v>
      </c>
      <c r="B7" s="2" t="s">
        <v>5</v>
      </c>
      <c r="C7" s="2" t="s">
        <v>5</v>
      </c>
      <c r="D7" s="2" t="s">
        <v>5</v>
      </c>
      <c r="E7" s="2" t="s">
        <v>5</v>
      </c>
    </row>
    <row r="8" spans="1:5" ht="16" x14ac:dyDescent="0.2">
      <c r="A8" s="1" t="s">
        <v>1122</v>
      </c>
      <c r="B8" s="2" t="s">
        <v>5</v>
      </c>
      <c r="C8" s="2" t="s">
        <v>5</v>
      </c>
      <c r="D8" s="2" t="s">
        <v>5</v>
      </c>
      <c r="E8" s="2" t="s">
        <v>5</v>
      </c>
    </row>
    <row r="9" spans="1:5" ht="16" x14ac:dyDescent="0.2">
      <c r="A9" s="2" t="s">
        <v>1123</v>
      </c>
      <c r="B9" s="2" t="s">
        <v>5</v>
      </c>
      <c r="C9" s="4">
        <v>55117</v>
      </c>
      <c r="D9" s="4">
        <v>75635</v>
      </c>
      <c r="E9" s="2" t="s">
        <v>5</v>
      </c>
    </row>
    <row r="10" spans="1:5" ht="16" x14ac:dyDescent="0.2">
      <c r="A10" s="2" t="s">
        <v>1101</v>
      </c>
      <c r="B10" s="2" t="s">
        <v>5</v>
      </c>
      <c r="C10" s="4">
        <v>2</v>
      </c>
      <c r="D10" s="4">
        <v>3</v>
      </c>
      <c r="E10" s="5">
        <v>3</v>
      </c>
    </row>
    <row r="11" spans="1:5" ht="16" x14ac:dyDescent="0.2">
      <c r="A11" s="2" t="s">
        <v>1102</v>
      </c>
      <c r="B11" s="2" t="s">
        <v>5</v>
      </c>
      <c r="C11" s="4">
        <v>2820</v>
      </c>
      <c r="D11" s="4">
        <v>2080</v>
      </c>
      <c r="E11" s="4">
        <v>1988</v>
      </c>
    </row>
    <row r="12" spans="1:5" ht="16" x14ac:dyDescent="0.2">
      <c r="A12" s="2" t="s">
        <v>1124</v>
      </c>
      <c r="B12" s="2" t="s">
        <v>5</v>
      </c>
      <c r="C12" s="2" t="s">
        <v>111</v>
      </c>
      <c r="D12" s="4">
        <v>1</v>
      </c>
      <c r="E12" s="2" t="s">
        <v>5</v>
      </c>
    </row>
    <row r="13" spans="1:5" ht="16" x14ac:dyDescent="0.2">
      <c r="A13" s="2" t="s">
        <v>1125</v>
      </c>
      <c r="B13" s="2" t="s">
        <v>5</v>
      </c>
      <c r="C13" s="4">
        <v>1217</v>
      </c>
      <c r="D13" s="4">
        <v>-17605</v>
      </c>
      <c r="E13" s="2" t="s">
        <v>5</v>
      </c>
    </row>
    <row r="14" spans="1:5" ht="16" x14ac:dyDescent="0.2">
      <c r="A14" s="2" t="s">
        <v>1126</v>
      </c>
      <c r="B14" s="2" t="s">
        <v>5</v>
      </c>
      <c r="C14" s="4">
        <v>-4837</v>
      </c>
      <c r="D14" s="4">
        <v>-4971</v>
      </c>
      <c r="E14" s="2" t="s">
        <v>5</v>
      </c>
    </row>
    <row r="15" spans="1:5" ht="16" x14ac:dyDescent="0.2">
      <c r="A15" s="2" t="s">
        <v>1127</v>
      </c>
      <c r="B15" s="2" t="s">
        <v>5</v>
      </c>
      <c r="C15" s="2" t="s">
        <v>111</v>
      </c>
      <c r="D15" s="2" t="s">
        <v>111</v>
      </c>
      <c r="E15" s="2" t="s">
        <v>5</v>
      </c>
    </row>
    <row r="16" spans="1:5" ht="16" x14ac:dyDescent="0.2">
      <c r="A16" s="2" t="s">
        <v>1128</v>
      </c>
      <c r="B16" s="2" t="s">
        <v>5</v>
      </c>
      <c r="C16" s="4">
        <v>6</v>
      </c>
      <c r="D16" s="4">
        <v>-26</v>
      </c>
      <c r="E16" s="2" t="s">
        <v>5</v>
      </c>
    </row>
    <row r="17" spans="1:5" ht="16" x14ac:dyDescent="0.2">
      <c r="A17" s="2" t="s">
        <v>1129</v>
      </c>
      <c r="B17" s="2" t="s">
        <v>5</v>
      </c>
      <c r="C17" s="4">
        <v>54325</v>
      </c>
      <c r="D17" s="4">
        <v>55117</v>
      </c>
      <c r="E17" s="4">
        <v>75635</v>
      </c>
    </row>
    <row r="18" spans="1:5" ht="16" x14ac:dyDescent="0.2">
      <c r="A18" s="1" t="s">
        <v>1119</v>
      </c>
      <c r="B18" s="2" t="s">
        <v>5</v>
      </c>
      <c r="C18" s="2" t="s">
        <v>5</v>
      </c>
      <c r="D18" s="2" t="s">
        <v>5</v>
      </c>
      <c r="E18" s="2" t="s">
        <v>5</v>
      </c>
    </row>
    <row r="19" spans="1:5" ht="16" x14ac:dyDescent="0.2">
      <c r="A19" s="2" t="s">
        <v>1130</v>
      </c>
      <c r="B19" s="2" t="s">
        <v>5</v>
      </c>
      <c r="C19" s="4">
        <v>49825</v>
      </c>
      <c r="D19" s="4">
        <v>67813</v>
      </c>
      <c r="E19" s="2" t="s">
        <v>5</v>
      </c>
    </row>
    <row r="20" spans="1:5" ht="16" x14ac:dyDescent="0.2">
      <c r="A20" s="2" t="s">
        <v>1131</v>
      </c>
      <c r="B20" s="2" t="s">
        <v>5</v>
      </c>
      <c r="C20" s="4">
        <v>3756</v>
      </c>
      <c r="D20" s="4">
        <v>-13141</v>
      </c>
      <c r="E20" s="2" t="s">
        <v>5</v>
      </c>
    </row>
    <row r="21" spans="1:5" ht="16" x14ac:dyDescent="0.2">
      <c r="A21" s="2" t="s">
        <v>1120</v>
      </c>
      <c r="B21" s="2" t="s">
        <v>5</v>
      </c>
      <c r="C21" s="2" t="s">
        <v>111</v>
      </c>
      <c r="D21" s="4">
        <v>2</v>
      </c>
      <c r="E21" s="2" t="s">
        <v>5</v>
      </c>
    </row>
    <row r="22" spans="1:5" ht="16" x14ac:dyDescent="0.2">
      <c r="A22" s="2" t="s">
        <v>1132</v>
      </c>
      <c r="B22" s="2" t="s">
        <v>5</v>
      </c>
      <c r="C22" s="2" t="s">
        <v>111</v>
      </c>
      <c r="D22" s="2" t="s">
        <v>111</v>
      </c>
      <c r="E22" s="2" t="s">
        <v>5</v>
      </c>
    </row>
    <row r="23" spans="1:5" ht="16" x14ac:dyDescent="0.2">
      <c r="A23" s="2" t="s">
        <v>1133</v>
      </c>
      <c r="B23" s="2" t="s">
        <v>5</v>
      </c>
      <c r="C23" s="4">
        <v>-4698</v>
      </c>
      <c r="D23" s="4">
        <v>-4824</v>
      </c>
      <c r="E23" s="2" t="s">
        <v>5</v>
      </c>
    </row>
    <row r="24" spans="1:5" ht="16" x14ac:dyDescent="0.2">
      <c r="A24" s="2" t="s">
        <v>1128</v>
      </c>
      <c r="B24" s="2" t="s">
        <v>5</v>
      </c>
      <c r="C24" s="4">
        <v>8</v>
      </c>
      <c r="D24" s="4">
        <v>-25</v>
      </c>
      <c r="E24" s="2" t="s">
        <v>5</v>
      </c>
    </row>
    <row r="25" spans="1:5" ht="16" x14ac:dyDescent="0.2">
      <c r="A25" s="2" t="s">
        <v>1134</v>
      </c>
      <c r="B25" s="2" t="s">
        <v>5</v>
      </c>
      <c r="C25" s="4">
        <v>48891</v>
      </c>
      <c r="D25" s="4">
        <v>49825</v>
      </c>
      <c r="E25" s="4">
        <v>67813</v>
      </c>
    </row>
    <row r="26" spans="1:5" ht="32" x14ac:dyDescent="0.2">
      <c r="A26" s="1" t="s">
        <v>1121</v>
      </c>
      <c r="B26" s="2" t="s">
        <v>5</v>
      </c>
      <c r="C26" s="2" t="s">
        <v>5</v>
      </c>
      <c r="D26" s="2" t="s">
        <v>5</v>
      </c>
      <c r="E26" s="2" t="s">
        <v>5</v>
      </c>
    </row>
    <row r="27" spans="1:5" ht="16" x14ac:dyDescent="0.2">
      <c r="A27" s="2" t="s">
        <v>1135</v>
      </c>
      <c r="B27" s="2" t="s">
        <v>5</v>
      </c>
      <c r="C27" s="4">
        <v>1219</v>
      </c>
      <c r="D27" s="4">
        <v>987</v>
      </c>
      <c r="E27" s="2" t="s">
        <v>5</v>
      </c>
    </row>
    <row r="28" spans="1:5" ht="16" x14ac:dyDescent="0.2">
      <c r="A28" s="2" t="s">
        <v>180</v>
      </c>
      <c r="B28" s="2" t="s">
        <v>5</v>
      </c>
      <c r="C28" s="4">
        <v>-137</v>
      </c>
      <c r="D28" s="4">
        <v>-138</v>
      </c>
      <c r="E28" s="2" t="s">
        <v>5</v>
      </c>
    </row>
    <row r="29" spans="1:5" ht="16" x14ac:dyDescent="0.2">
      <c r="A29" s="2" t="s">
        <v>184</v>
      </c>
      <c r="B29" s="2" t="s">
        <v>5</v>
      </c>
      <c r="C29" s="2" t="s">
        <v>111</v>
      </c>
      <c r="D29" s="2" t="s">
        <v>111</v>
      </c>
      <c r="E29" s="2" t="s">
        <v>5</v>
      </c>
    </row>
    <row r="30" spans="1:5" ht="16" x14ac:dyDescent="0.2">
      <c r="A30" s="2" t="s">
        <v>185</v>
      </c>
      <c r="B30" s="2" t="s">
        <v>5</v>
      </c>
      <c r="C30" s="4">
        <v>-6516</v>
      </c>
      <c r="D30" s="4">
        <v>-6141</v>
      </c>
      <c r="E30" s="2" t="s">
        <v>5</v>
      </c>
    </row>
    <row r="31" spans="1:5" ht="16" x14ac:dyDescent="0.2">
      <c r="A31" s="2" t="s">
        <v>1136</v>
      </c>
      <c r="B31" s="2" t="s">
        <v>5</v>
      </c>
      <c r="C31" s="4">
        <v>-5434</v>
      </c>
      <c r="D31" s="4">
        <v>-5292</v>
      </c>
      <c r="E31" s="2" t="s">
        <v>5</v>
      </c>
    </row>
    <row r="32" spans="1:5" ht="16" x14ac:dyDescent="0.2">
      <c r="A32" s="2" t="s">
        <v>1108</v>
      </c>
      <c r="B32" s="2" t="s">
        <v>5</v>
      </c>
      <c r="C32" s="2" t="s">
        <v>5</v>
      </c>
      <c r="D32" s="2" t="s">
        <v>5</v>
      </c>
      <c r="E32" s="2" t="s">
        <v>5</v>
      </c>
    </row>
    <row r="33" spans="1:5" ht="16" x14ac:dyDescent="0.2">
      <c r="A33" s="1" t="s">
        <v>1122</v>
      </c>
      <c r="B33" s="2" t="s">
        <v>5</v>
      </c>
      <c r="C33" s="2" t="s">
        <v>5</v>
      </c>
      <c r="D33" s="2" t="s">
        <v>5</v>
      </c>
      <c r="E33" s="2" t="s">
        <v>5</v>
      </c>
    </row>
    <row r="34" spans="1:5" ht="16" x14ac:dyDescent="0.2">
      <c r="A34" s="2" t="s">
        <v>1123</v>
      </c>
      <c r="B34" s="2" t="s">
        <v>5</v>
      </c>
      <c r="C34" s="4">
        <v>2978</v>
      </c>
      <c r="D34" s="4">
        <v>4092</v>
      </c>
      <c r="E34" s="2" t="s">
        <v>5</v>
      </c>
    </row>
    <row r="35" spans="1:5" ht="16" x14ac:dyDescent="0.2">
      <c r="A35" s="2" t="s">
        <v>1101</v>
      </c>
      <c r="B35" s="2" t="s">
        <v>5</v>
      </c>
      <c r="C35" s="4">
        <v>49</v>
      </c>
      <c r="D35" s="4">
        <v>72</v>
      </c>
      <c r="E35" s="4">
        <v>87</v>
      </c>
    </row>
    <row r="36" spans="1:5" ht="16" x14ac:dyDescent="0.2">
      <c r="A36" s="2" t="s">
        <v>1102</v>
      </c>
      <c r="B36" s="2" t="s">
        <v>5</v>
      </c>
      <c r="C36" s="4">
        <v>148</v>
      </c>
      <c r="D36" s="4">
        <v>98</v>
      </c>
      <c r="E36" s="4">
        <v>97</v>
      </c>
    </row>
    <row r="37" spans="1:5" ht="16" x14ac:dyDescent="0.2">
      <c r="A37" s="2" t="s">
        <v>1124</v>
      </c>
      <c r="B37" s="2" t="s">
        <v>5</v>
      </c>
      <c r="C37" s="2" t="s">
        <v>111</v>
      </c>
      <c r="D37" s="2" t="s">
        <v>111</v>
      </c>
      <c r="E37" s="2" t="s">
        <v>5</v>
      </c>
    </row>
    <row r="38" spans="1:5" ht="16" x14ac:dyDescent="0.2">
      <c r="A38" s="2" t="s">
        <v>1125</v>
      </c>
      <c r="B38" s="2" t="s">
        <v>5</v>
      </c>
      <c r="C38" s="4">
        <v>-152</v>
      </c>
      <c r="D38" s="4">
        <v>-914</v>
      </c>
      <c r="E38" s="2" t="s">
        <v>5</v>
      </c>
    </row>
    <row r="39" spans="1:5" ht="16" x14ac:dyDescent="0.2">
      <c r="A39" s="2" t="s">
        <v>1126</v>
      </c>
      <c r="B39" s="2" t="s">
        <v>5</v>
      </c>
      <c r="C39" s="4">
        <v>-375</v>
      </c>
      <c r="D39" s="4">
        <v>-406</v>
      </c>
      <c r="E39" s="2" t="s">
        <v>5</v>
      </c>
    </row>
    <row r="40" spans="1:5" ht="16" x14ac:dyDescent="0.2">
      <c r="A40" s="2" t="s">
        <v>1127</v>
      </c>
      <c r="B40" s="2" t="s">
        <v>5</v>
      </c>
      <c r="C40" s="4">
        <v>2</v>
      </c>
      <c r="D40" s="4">
        <v>39</v>
      </c>
      <c r="E40" s="2" t="s">
        <v>5</v>
      </c>
    </row>
    <row r="41" spans="1:5" ht="16" x14ac:dyDescent="0.2">
      <c r="A41" s="2" t="s">
        <v>1128</v>
      </c>
      <c r="B41" s="2" t="s">
        <v>5</v>
      </c>
      <c r="C41" s="4">
        <v>1</v>
      </c>
      <c r="D41" s="4">
        <v>-3</v>
      </c>
      <c r="E41" s="2" t="s">
        <v>5</v>
      </c>
    </row>
    <row r="42" spans="1:5" ht="16" x14ac:dyDescent="0.2">
      <c r="A42" s="2" t="s">
        <v>1129</v>
      </c>
      <c r="B42" s="2" t="s">
        <v>5</v>
      </c>
      <c r="C42" s="4">
        <v>2651</v>
      </c>
      <c r="D42" s="4">
        <v>2978</v>
      </c>
      <c r="E42" s="4">
        <v>4092</v>
      </c>
    </row>
    <row r="43" spans="1:5" ht="16" x14ac:dyDescent="0.2">
      <c r="A43" s="1" t="s">
        <v>1119</v>
      </c>
      <c r="B43" s="2" t="s">
        <v>5</v>
      </c>
      <c r="C43" s="2" t="s">
        <v>5</v>
      </c>
      <c r="D43" s="2" t="s">
        <v>5</v>
      </c>
      <c r="E43" s="2" t="s">
        <v>5</v>
      </c>
    </row>
    <row r="44" spans="1:5" ht="16" x14ac:dyDescent="0.2">
      <c r="A44" s="2" t="s">
        <v>1130</v>
      </c>
      <c r="B44" s="2" t="s">
        <v>5</v>
      </c>
      <c r="C44" s="4">
        <v>140</v>
      </c>
      <c r="D44" s="4">
        <v>172</v>
      </c>
      <c r="E44" s="2" t="s">
        <v>5</v>
      </c>
    </row>
    <row r="45" spans="1:5" ht="16" x14ac:dyDescent="0.2">
      <c r="A45" s="2" t="s">
        <v>1131</v>
      </c>
      <c r="B45" s="2" t="s">
        <v>5</v>
      </c>
      <c r="C45" s="4">
        <v>23</v>
      </c>
      <c r="D45" s="4">
        <v>-27</v>
      </c>
      <c r="E45" s="2" t="s">
        <v>5</v>
      </c>
    </row>
    <row r="46" spans="1:5" ht="16" x14ac:dyDescent="0.2">
      <c r="A46" s="2" t="s">
        <v>1120</v>
      </c>
      <c r="B46" s="2" t="s">
        <v>5</v>
      </c>
      <c r="C46" s="2" t="s">
        <v>111</v>
      </c>
      <c r="D46" s="2" t="s">
        <v>111</v>
      </c>
      <c r="E46" s="2" t="s">
        <v>5</v>
      </c>
    </row>
    <row r="47" spans="1:5" ht="16" x14ac:dyDescent="0.2">
      <c r="A47" s="2" t="s">
        <v>1132</v>
      </c>
      <c r="B47" s="2" t="s">
        <v>5</v>
      </c>
      <c r="C47" s="4">
        <v>4</v>
      </c>
      <c r="D47" s="4">
        <v>6</v>
      </c>
      <c r="E47" s="2" t="s">
        <v>5</v>
      </c>
    </row>
    <row r="48" spans="1:5" ht="16" x14ac:dyDescent="0.2">
      <c r="A48" s="2" t="s">
        <v>1133</v>
      </c>
      <c r="B48" s="2" t="s">
        <v>5</v>
      </c>
      <c r="C48" s="4">
        <v>-4</v>
      </c>
      <c r="D48" s="4">
        <v>-11</v>
      </c>
      <c r="E48" s="2" t="s">
        <v>5</v>
      </c>
    </row>
    <row r="49" spans="1:5" ht="16" x14ac:dyDescent="0.2">
      <c r="A49" s="2" t="s">
        <v>1128</v>
      </c>
      <c r="B49" s="2" t="s">
        <v>5</v>
      </c>
      <c r="C49" s="2" t="s">
        <v>111</v>
      </c>
      <c r="D49" s="2" t="s">
        <v>111</v>
      </c>
      <c r="E49" s="2" t="s">
        <v>5</v>
      </c>
    </row>
    <row r="50" spans="1:5" ht="16" x14ac:dyDescent="0.2">
      <c r="A50" s="2" t="s">
        <v>1134</v>
      </c>
      <c r="B50" s="2" t="s">
        <v>5</v>
      </c>
      <c r="C50" s="4">
        <v>163</v>
      </c>
      <c r="D50" s="4">
        <v>140</v>
      </c>
      <c r="E50" s="5">
        <v>172</v>
      </c>
    </row>
    <row r="51" spans="1:5" ht="32" x14ac:dyDescent="0.2">
      <c r="A51" s="1" t="s">
        <v>1121</v>
      </c>
      <c r="B51" s="2" t="s">
        <v>5</v>
      </c>
      <c r="C51" s="2" t="s">
        <v>5</v>
      </c>
      <c r="D51" s="2" t="s">
        <v>5</v>
      </c>
      <c r="E51" s="2" t="s">
        <v>5</v>
      </c>
    </row>
    <row r="52" spans="1:5" ht="16" x14ac:dyDescent="0.2">
      <c r="A52" s="2" t="s">
        <v>1135</v>
      </c>
      <c r="B52" s="2" t="s">
        <v>5</v>
      </c>
      <c r="C52" s="4">
        <v>81</v>
      </c>
      <c r="D52" s="4">
        <v>21</v>
      </c>
      <c r="E52" s="2" t="s">
        <v>5</v>
      </c>
    </row>
    <row r="53" spans="1:5" ht="16" x14ac:dyDescent="0.2">
      <c r="A53" s="2" t="s">
        <v>180</v>
      </c>
      <c r="B53" s="2" t="s">
        <v>5</v>
      </c>
      <c r="C53" s="4">
        <v>-336</v>
      </c>
      <c r="D53" s="4">
        <v>-356</v>
      </c>
      <c r="E53" s="2" t="s">
        <v>5</v>
      </c>
    </row>
    <row r="54" spans="1:5" ht="16" x14ac:dyDescent="0.2">
      <c r="A54" s="2" t="s">
        <v>184</v>
      </c>
      <c r="B54" s="2" t="s">
        <v>5</v>
      </c>
      <c r="C54" s="4">
        <v>-2233</v>
      </c>
      <c r="D54" s="4">
        <v>-2503</v>
      </c>
      <c r="E54" s="2" t="s">
        <v>5</v>
      </c>
    </row>
    <row r="55" spans="1:5" ht="16" x14ac:dyDescent="0.2">
      <c r="A55" s="2" t="s">
        <v>185</v>
      </c>
      <c r="B55" s="2" t="s">
        <v>5</v>
      </c>
      <c r="C55" s="2" t="s">
        <v>111</v>
      </c>
      <c r="D55" s="2" t="s">
        <v>111</v>
      </c>
      <c r="E55" s="2" t="s">
        <v>5</v>
      </c>
    </row>
    <row r="56" spans="1:5" ht="16" x14ac:dyDescent="0.2">
      <c r="A56" s="2" t="s">
        <v>1136</v>
      </c>
      <c r="B56" s="2" t="s">
        <v>5</v>
      </c>
      <c r="C56" s="5">
        <v>-2488</v>
      </c>
      <c r="D56" s="5">
        <v>-2838</v>
      </c>
      <c r="E56" s="2" t="s">
        <v>5</v>
      </c>
    </row>
  </sheetData>
  <mergeCells count="2">
    <mergeCell ref="A1:A2"/>
    <mergeCell ref="C1:E1"/>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11"/>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1137</v>
      </c>
      <c r="B1" s="12" t="s">
        <v>2</v>
      </c>
      <c r="C1" s="12" t="s">
        <v>75</v>
      </c>
    </row>
    <row r="2" spans="1:3" ht="16" x14ac:dyDescent="0.2">
      <c r="A2" s="2" t="s">
        <v>1099</v>
      </c>
      <c r="B2" s="2" t="s">
        <v>5</v>
      </c>
      <c r="C2" s="2" t="s">
        <v>5</v>
      </c>
    </row>
    <row r="3" spans="1:3" ht="16" x14ac:dyDescent="0.2">
      <c r="A3" s="1" t="s">
        <v>1100</v>
      </c>
      <c r="B3" s="2" t="s">
        <v>5</v>
      </c>
      <c r="C3" s="2" t="s">
        <v>5</v>
      </c>
    </row>
    <row r="4" spans="1:3" ht="16" x14ac:dyDescent="0.2">
      <c r="A4" s="2" t="s">
        <v>1138</v>
      </c>
      <c r="B4" s="5">
        <v>18175</v>
      </c>
      <c r="C4" s="5">
        <v>17448</v>
      </c>
    </row>
    <row r="5" spans="1:3" ht="16" x14ac:dyDescent="0.2">
      <c r="A5" s="2" t="s">
        <v>1139</v>
      </c>
      <c r="B5" s="4">
        <v>-1143</v>
      </c>
      <c r="C5" s="4">
        <v>-1224</v>
      </c>
    </row>
    <row r="6" spans="1:3" ht="16" x14ac:dyDescent="0.2">
      <c r="A6" s="2" t="s">
        <v>1140</v>
      </c>
      <c r="B6" s="4">
        <v>17032</v>
      </c>
      <c r="C6" s="4">
        <v>16224</v>
      </c>
    </row>
    <row r="7" spans="1:3" ht="16" x14ac:dyDescent="0.2">
      <c r="A7" s="2" t="s">
        <v>1108</v>
      </c>
      <c r="B7" s="2" t="s">
        <v>5</v>
      </c>
      <c r="C7" s="2" t="s">
        <v>5</v>
      </c>
    </row>
    <row r="8" spans="1:3" ht="16" x14ac:dyDescent="0.2">
      <c r="A8" s="1" t="s">
        <v>1100</v>
      </c>
      <c r="B8" s="2" t="s">
        <v>5</v>
      </c>
      <c r="C8" s="2" t="s">
        <v>5</v>
      </c>
    </row>
    <row r="9" spans="1:3" ht="16" x14ac:dyDescent="0.2">
      <c r="A9" s="2" t="s">
        <v>1138</v>
      </c>
      <c r="B9" s="4">
        <v>-1852</v>
      </c>
      <c r="C9" s="4">
        <v>-1862</v>
      </c>
    </row>
    <row r="10" spans="1:3" ht="16" x14ac:dyDescent="0.2">
      <c r="A10" s="2" t="s">
        <v>1139</v>
      </c>
      <c r="B10" s="4">
        <v>-19</v>
      </c>
      <c r="C10" s="4">
        <v>-41</v>
      </c>
    </row>
    <row r="11" spans="1:3" ht="16" x14ac:dyDescent="0.2">
      <c r="A11" s="2" t="s">
        <v>1140</v>
      </c>
      <c r="B11" s="5">
        <v>-1871</v>
      </c>
      <c r="C11" s="5">
        <v>-1903</v>
      </c>
    </row>
  </sheetData>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E57"/>
  <sheetViews>
    <sheetView workbookViewId="0"/>
  </sheetViews>
  <sheetFormatPr baseColWidth="10" defaultColWidth="8.83203125" defaultRowHeight="15" x14ac:dyDescent="0.2"/>
  <cols>
    <col min="1" max="1" width="80" customWidth="1"/>
    <col min="2" max="2" width="15" customWidth="1"/>
    <col min="3" max="3" width="16" customWidth="1"/>
    <col min="4" max="5" width="14" customWidth="1"/>
  </cols>
  <sheetData>
    <row r="1" spans="1:5" ht="16" x14ac:dyDescent="0.2">
      <c r="A1" s="59" t="s">
        <v>1141</v>
      </c>
      <c r="B1" s="12" t="s">
        <v>1117</v>
      </c>
      <c r="C1" s="61" t="s">
        <v>1</v>
      </c>
      <c r="D1" s="60"/>
      <c r="E1" s="60"/>
    </row>
    <row r="2" spans="1:5" ht="16" x14ac:dyDescent="0.2">
      <c r="A2" s="60"/>
      <c r="B2" s="12" t="s">
        <v>1118</v>
      </c>
      <c r="C2" s="12" t="s">
        <v>2</v>
      </c>
      <c r="D2" s="12" t="s">
        <v>75</v>
      </c>
      <c r="E2" s="12" t="s">
        <v>76</v>
      </c>
    </row>
    <row r="3" spans="1:5" ht="16" x14ac:dyDescent="0.2">
      <c r="A3" s="1" t="s">
        <v>1100</v>
      </c>
      <c r="B3" s="2" t="s">
        <v>5</v>
      </c>
      <c r="C3" s="2" t="s">
        <v>5</v>
      </c>
      <c r="D3" s="2" t="s">
        <v>5</v>
      </c>
      <c r="E3" s="2" t="s">
        <v>5</v>
      </c>
    </row>
    <row r="4" spans="1:5" ht="16" x14ac:dyDescent="0.2">
      <c r="A4" s="2" t="s">
        <v>1142</v>
      </c>
      <c r="B4" s="2" t="s">
        <v>5</v>
      </c>
      <c r="C4" s="5">
        <v>-8466</v>
      </c>
      <c r="D4" s="2" t="s">
        <v>5</v>
      </c>
      <c r="E4" s="2" t="s">
        <v>5</v>
      </c>
    </row>
    <row r="5" spans="1:5" ht="16" x14ac:dyDescent="0.2">
      <c r="A5" s="2" t="s">
        <v>1143</v>
      </c>
      <c r="B5" s="2" t="s">
        <v>5</v>
      </c>
      <c r="C5" s="9">
        <v>0.38300000000000001</v>
      </c>
      <c r="D5" s="9">
        <v>0.371</v>
      </c>
      <c r="E5" s="2" t="s">
        <v>5</v>
      </c>
    </row>
    <row r="6" spans="1:5" ht="32" x14ac:dyDescent="0.2">
      <c r="A6" s="2" t="s">
        <v>1144</v>
      </c>
      <c r="B6" s="2" t="s">
        <v>5</v>
      </c>
      <c r="C6" s="9">
        <v>2.1000000000000001E-2</v>
      </c>
      <c r="D6" s="2" t="s">
        <v>1145</v>
      </c>
      <c r="E6" s="2" t="s">
        <v>5</v>
      </c>
    </row>
    <row r="7" spans="1:5" ht="16" x14ac:dyDescent="0.2">
      <c r="A7" s="2" t="s">
        <v>1120</v>
      </c>
      <c r="B7" s="5">
        <v>3000</v>
      </c>
      <c r="C7" s="2" t="s">
        <v>5</v>
      </c>
      <c r="D7" s="2" t="s">
        <v>5</v>
      </c>
      <c r="E7" s="2" t="s">
        <v>5</v>
      </c>
    </row>
    <row r="8" spans="1:5" ht="16" x14ac:dyDescent="0.2">
      <c r="A8" s="2" t="s">
        <v>1146</v>
      </c>
      <c r="B8" s="2" t="s">
        <v>5</v>
      </c>
      <c r="C8" s="5">
        <v>1564</v>
      </c>
      <c r="D8" s="5">
        <v>1260</v>
      </c>
      <c r="E8" s="5">
        <v>1268</v>
      </c>
    </row>
    <row r="9" spans="1:5" ht="16" x14ac:dyDescent="0.2">
      <c r="A9" s="2" t="s">
        <v>1099</v>
      </c>
      <c r="B9" s="2" t="s">
        <v>5</v>
      </c>
      <c r="C9" s="2" t="s">
        <v>5</v>
      </c>
      <c r="D9" s="2" t="s">
        <v>5</v>
      </c>
      <c r="E9" s="2" t="s">
        <v>5</v>
      </c>
    </row>
    <row r="10" spans="1:5" ht="16" x14ac:dyDescent="0.2">
      <c r="A10" s="1" t="s">
        <v>1100</v>
      </c>
      <c r="B10" s="2" t="s">
        <v>5</v>
      </c>
      <c r="C10" s="2" t="s">
        <v>5</v>
      </c>
      <c r="D10" s="2" t="s">
        <v>5</v>
      </c>
      <c r="E10" s="2" t="s">
        <v>5</v>
      </c>
    </row>
    <row r="11" spans="1:5" ht="16" x14ac:dyDescent="0.2">
      <c r="A11" s="2" t="s">
        <v>1147</v>
      </c>
      <c r="B11" s="2" t="s">
        <v>5</v>
      </c>
      <c r="C11" s="4">
        <v>53671</v>
      </c>
      <c r="D11" s="4">
        <v>54481</v>
      </c>
      <c r="E11" s="2" t="s">
        <v>5</v>
      </c>
    </row>
    <row r="12" spans="1:5" ht="16" x14ac:dyDescent="0.2">
      <c r="A12" s="2" t="s">
        <v>1120</v>
      </c>
      <c r="B12" s="2" t="s">
        <v>5</v>
      </c>
      <c r="C12" s="2" t="s">
        <v>111</v>
      </c>
      <c r="D12" s="4">
        <v>2</v>
      </c>
      <c r="E12" s="2" t="s">
        <v>5</v>
      </c>
    </row>
    <row r="13" spans="1:5" ht="16" x14ac:dyDescent="0.2">
      <c r="A13" s="2" t="s">
        <v>1148</v>
      </c>
      <c r="B13" s="2" t="s">
        <v>5</v>
      </c>
      <c r="C13" s="5">
        <v>48891</v>
      </c>
      <c r="D13" s="5">
        <v>49825</v>
      </c>
      <c r="E13" s="4">
        <v>67813</v>
      </c>
    </row>
    <row r="14" spans="1:5" ht="16" x14ac:dyDescent="0.2">
      <c r="A14" s="2" t="s">
        <v>1149</v>
      </c>
      <c r="B14" s="2" t="s">
        <v>5</v>
      </c>
      <c r="C14" s="8">
        <v>1</v>
      </c>
      <c r="D14" s="8">
        <v>1</v>
      </c>
      <c r="E14" s="2" t="s">
        <v>5</v>
      </c>
    </row>
    <row r="15" spans="1:5" ht="16" x14ac:dyDescent="0.2">
      <c r="A15" s="2" t="s">
        <v>1150</v>
      </c>
      <c r="B15" s="2" t="s">
        <v>5</v>
      </c>
      <c r="C15" s="2" t="s">
        <v>5</v>
      </c>
      <c r="D15" s="2" t="s">
        <v>5</v>
      </c>
      <c r="E15" s="2" t="s">
        <v>5</v>
      </c>
    </row>
    <row r="16" spans="1:5" ht="16" x14ac:dyDescent="0.2">
      <c r="A16" s="1" t="s">
        <v>1100</v>
      </c>
      <c r="B16" s="2" t="s">
        <v>5</v>
      </c>
      <c r="C16" s="2" t="s">
        <v>5</v>
      </c>
      <c r="D16" s="2" t="s">
        <v>5</v>
      </c>
      <c r="E16" s="2" t="s">
        <v>5</v>
      </c>
    </row>
    <row r="17" spans="1:5" ht="16" x14ac:dyDescent="0.2">
      <c r="A17" s="2" t="s">
        <v>1149</v>
      </c>
      <c r="B17" s="2" t="s">
        <v>5</v>
      </c>
      <c r="C17" s="8">
        <v>0.6</v>
      </c>
      <c r="D17" s="8">
        <v>0.63</v>
      </c>
      <c r="E17" s="2" t="s">
        <v>5</v>
      </c>
    </row>
    <row r="18" spans="1:5" ht="16" x14ac:dyDescent="0.2">
      <c r="A18" s="2" t="s">
        <v>1151</v>
      </c>
      <c r="B18" s="2" t="s">
        <v>5</v>
      </c>
      <c r="C18" s="2" t="s">
        <v>5</v>
      </c>
      <c r="D18" s="2" t="s">
        <v>5</v>
      </c>
      <c r="E18" s="2" t="s">
        <v>5</v>
      </c>
    </row>
    <row r="19" spans="1:5" ht="16" x14ac:dyDescent="0.2">
      <c r="A19" s="1" t="s">
        <v>1100</v>
      </c>
      <c r="B19" s="2" t="s">
        <v>5</v>
      </c>
      <c r="C19" s="2" t="s">
        <v>5</v>
      </c>
      <c r="D19" s="2" t="s">
        <v>5</v>
      </c>
      <c r="E19" s="2" t="s">
        <v>5</v>
      </c>
    </row>
    <row r="20" spans="1:5" ht="16" x14ac:dyDescent="0.2">
      <c r="A20" s="2" t="s">
        <v>1149</v>
      </c>
      <c r="B20" s="2" t="s">
        <v>5</v>
      </c>
      <c r="C20" s="8">
        <v>0.19</v>
      </c>
      <c r="D20" s="8">
        <v>0.14000000000000001</v>
      </c>
      <c r="E20" s="2" t="s">
        <v>5</v>
      </c>
    </row>
    <row r="21" spans="1:5" ht="16" x14ac:dyDescent="0.2">
      <c r="A21" s="2" t="s">
        <v>1152</v>
      </c>
      <c r="B21" s="2" t="s">
        <v>5</v>
      </c>
      <c r="C21" s="2" t="s">
        <v>5</v>
      </c>
      <c r="D21" s="2" t="s">
        <v>5</v>
      </c>
      <c r="E21" s="2" t="s">
        <v>5</v>
      </c>
    </row>
    <row r="22" spans="1:5" ht="16" x14ac:dyDescent="0.2">
      <c r="A22" s="1" t="s">
        <v>1100</v>
      </c>
      <c r="B22" s="2" t="s">
        <v>5</v>
      </c>
      <c r="C22" s="2" t="s">
        <v>5</v>
      </c>
      <c r="D22" s="2" t="s">
        <v>5</v>
      </c>
      <c r="E22" s="2" t="s">
        <v>5</v>
      </c>
    </row>
    <row r="23" spans="1:5" ht="16" x14ac:dyDescent="0.2">
      <c r="A23" s="2" t="s">
        <v>1148</v>
      </c>
      <c r="B23" s="2" t="s">
        <v>5</v>
      </c>
      <c r="C23" s="5">
        <v>5950</v>
      </c>
      <c r="D23" s="5">
        <v>7054</v>
      </c>
      <c r="E23" s="2" t="s">
        <v>5</v>
      </c>
    </row>
    <row r="24" spans="1:5" ht="16" x14ac:dyDescent="0.2">
      <c r="A24" s="2" t="s">
        <v>1153</v>
      </c>
      <c r="B24" s="2" t="s">
        <v>5</v>
      </c>
      <c r="C24" s="2" t="s">
        <v>5</v>
      </c>
      <c r="D24" s="2" t="s">
        <v>5</v>
      </c>
      <c r="E24" s="2" t="s">
        <v>5</v>
      </c>
    </row>
    <row r="25" spans="1:5" ht="16" x14ac:dyDescent="0.2">
      <c r="A25" s="1" t="s">
        <v>1100</v>
      </c>
      <c r="B25" s="2" t="s">
        <v>5</v>
      </c>
      <c r="C25" s="2" t="s">
        <v>5</v>
      </c>
      <c r="D25" s="2" t="s">
        <v>5</v>
      </c>
      <c r="E25" s="2" t="s">
        <v>5</v>
      </c>
    </row>
    <row r="26" spans="1:5" ht="16" x14ac:dyDescent="0.2">
      <c r="A26" s="2" t="s">
        <v>1148</v>
      </c>
      <c r="B26" s="2" t="s">
        <v>5</v>
      </c>
      <c r="C26" s="4">
        <v>226</v>
      </c>
      <c r="D26" s="4">
        <v>268</v>
      </c>
      <c r="E26" s="4">
        <v>198</v>
      </c>
    </row>
    <row r="27" spans="1:5" ht="16" x14ac:dyDescent="0.2">
      <c r="A27" s="2" t="s">
        <v>1154</v>
      </c>
      <c r="B27" s="2" t="s">
        <v>5</v>
      </c>
      <c r="C27" s="2" t="s">
        <v>5</v>
      </c>
      <c r="D27" s="2" t="s">
        <v>5</v>
      </c>
      <c r="E27" s="2" t="s">
        <v>5</v>
      </c>
    </row>
    <row r="28" spans="1:5" ht="16" x14ac:dyDescent="0.2">
      <c r="A28" s="1" t="s">
        <v>1100</v>
      </c>
      <c r="B28" s="2" t="s">
        <v>5</v>
      </c>
      <c r="C28" s="2" t="s">
        <v>5</v>
      </c>
      <c r="D28" s="2" t="s">
        <v>5</v>
      </c>
      <c r="E28" s="2" t="s">
        <v>5</v>
      </c>
    </row>
    <row r="29" spans="1:5" ht="16" x14ac:dyDescent="0.2">
      <c r="A29" s="2" t="s">
        <v>1148</v>
      </c>
      <c r="B29" s="2" t="s">
        <v>5</v>
      </c>
      <c r="C29" s="2" t="s">
        <v>111</v>
      </c>
      <c r="D29" s="4">
        <v>1782</v>
      </c>
      <c r="E29" s="2" t="s">
        <v>5</v>
      </c>
    </row>
    <row r="30" spans="1:5" ht="16" x14ac:dyDescent="0.2">
      <c r="A30" s="2" t="s">
        <v>1155</v>
      </c>
      <c r="B30" s="2" t="s">
        <v>5</v>
      </c>
      <c r="C30" s="2" t="s">
        <v>5</v>
      </c>
      <c r="D30" s="2" t="s">
        <v>5</v>
      </c>
      <c r="E30" s="2" t="s">
        <v>5</v>
      </c>
    </row>
    <row r="31" spans="1:5" ht="16" x14ac:dyDescent="0.2">
      <c r="A31" s="1" t="s">
        <v>1100</v>
      </c>
      <c r="B31" s="2" t="s">
        <v>5</v>
      </c>
      <c r="C31" s="2" t="s">
        <v>5</v>
      </c>
      <c r="D31" s="2" t="s">
        <v>5</v>
      </c>
      <c r="E31" s="2" t="s">
        <v>5</v>
      </c>
    </row>
    <row r="32" spans="1:5" ht="16" x14ac:dyDescent="0.2">
      <c r="A32" s="2" t="s">
        <v>1148</v>
      </c>
      <c r="B32" s="2" t="s">
        <v>5</v>
      </c>
      <c r="C32" s="2" t="s">
        <v>111</v>
      </c>
      <c r="D32" s="4">
        <v>1782</v>
      </c>
      <c r="E32" s="2" t="s">
        <v>5</v>
      </c>
    </row>
    <row r="33" spans="1:5" ht="16" x14ac:dyDescent="0.2">
      <c r="A33" s="2" t="s">
        <v>1156</v>
      </c>
      <c r="B33" s="2" t="s">
        <v>5</v>
      </c>
      <c r="C33" s="2" t="s">
        <v>5</v>
      </c>
      <c r="D33" s="2" t="s">
        <v>5</v>
      </c>
      <c r="E33" s="2" t="s">
        <v>5</v>
      </c>
    </row>
    <row r="34" spans="1:5" ht="16" x14ac:dyDescent="0.2">
      <c r="A34" s="1" t="s">
        <v>1100</v>
      </c>
      <c r="B34" s="2" t="s">
        <v>5</v>
      </c>
      <c r="C34" s="2" t="s">
        <v>5</v>
      </c>
      <c r="D34" s="2" t="s">
        <v>5</v>
      </c>
      <c r="E34" s="2" t="s">
        <v>5</v>
      </c>
    </row>
    <row r="35" spans="1:5" ht="32" x14ac:dyDescent="0.2">
      <c r="A35" s="2" t="s">
        <v>1157</v>
      </c>
      <c r="B35" s="2" t="s">
        <v>5</v>
      </c>
      <c r="C35" s="4">
        <v>2</v>
      </c>
      <c r="D35" s="4">
        <v>-16</v>
      </c>
      <c r="E35" s="2" t="s">
        <v>5</v>
      </c>
    </row>
    <row r="36" spans="1:5" ht="16" x14ac:dyDescent="0.2">
      <c r="A36" s="2" t="s">
        <v>1158</v>
      </c>
      <c r="B36" s="2" t="s">
        <v>5</v>
      </c>
      <c r="C36" s="2" t="s">
        <v>5</v>
      </c>
      <c r="D36" s="2" t="s">
        <v>5</v>
      </c>
      <c r="E36" s="2" t="s">
        <v>5</v>
      </c>
    </row>
    <row r="37" spans="1:5" ht="16" x14ac:dyDescent="0.2">
      <c r="A37" s="1" t="s">
        <v>1100</v>
      </c>
      <c r="B37" s="2" t="s">
        <v>5</v>
      </c>
      <c r="C37" s="2" t="s">
        <v>5</v>
      </c>
      <c r="D37" s="2" t="s">
        <v>5</v>
      </c>
      <c r="E37" s="2" t="s">
        <v>5</v>
      </c>
    </row>
    <row r="38" spans="1:5" ht="32" x14ac:dyDescent="0.2">
      <c r="A38" s="2" t="s">
        <v>1157</v>
      </c>
      <c r="B38" s="2" t="s">
        <v>5</v>
      </c>
      <c r="C38" s="4">
        <v>6</v>
      </c>
      <c r="D38" s="4">
        <v>-11</v>
      </c>
      <c r="E38" s="2" t="s">
        <v>5</v>
      </c>
    </row>
    <row r="39" spans="1:5" ht="16" x14ac:dyDescent="0.2">
      <c r="A39" s="2" t="s">
        <v>1159</v>
      </c>
      <c r="B39" s="2" t="s">
        <v>5</v>
      </c>
      <c r="C39" s="2" t="s">
        <v>5</v>
      </c>
      <c r="D39" s="2" t="s">
        <v>5</v>
      </c>
      <c r="E39" s="2" t="s">
        <v>5</v>
      </c>
    </row>
    <row r="40" spans="1:5" ht="16" x14ac:dyDescent="0.2">
      <c r="A40" s="1" t="s">
        <v>1100</v>
      </c>
      <c r="B40" s="2" t="s">
        <v>5</v>
      </c>
      <c r="C40" s="2" t="s">
        <v>5</v>
      </c>
      <c r="D40" s="2" t="s">
        <v>5</v>
      </c>
      <c r="E40" s="2" t="s">
        <v>5</v>
      </c>
    </row>
    <row r="41" spans="1:5" ht="32" x14ac:dyDescent="0.2">
      <c r="A41" s="2" t="s">
        <v>1157</v>
      </c>
      <c r="B41" s="2" t="s">
        <v>5</v>
      </c>
      <c r="C41" s="4">
        <v>3</v>
      </c>
      <c r="D41" s="2" t="s">
        <v>5</v>
      </c>
      <c r="E41" s="2" t="s">
        <v>5</v>
      </c>
    </row>
    <row r="42" spans="1:5" ht="16" x14ac:dyDescent="0.2">
      <c r="A42" s="2" t="s">
        <v>1160</v>
      </c>
      <c r="B42" s="2" t="s">
        <v>5</v>
      </c>
      <c r="C42" s="2" t="s">
        <v>5</v>
      </c>
      <c r="D42" s="2" t="s">
        <v>5</v>
      </c>
      <c r="E42" s="2" t="s">
        <v>5</v>
      </c>
    </row>
    <row r="43" spans="1:5" ht="16" x14ac:dyDescent="0.2">
      <c r="A43" s="1" t="s">
        <v>1100</v>
      </c>
      <c r="B43" s="2" t="s">
        <v>5</v>
      </c>
      <c r="C43" s="2" t="s">
        <v>5</v>
      </c>
      <c r="D43" s="2" t="s">
        <v>5</v>
      </c>
      <c r="E43" s="2" t="s">
        <v>5</v>
      </c>
    </row>
    <row r="44" spans="1:5" ht="32" x14ac:dyDescent="0.2">
      <c r="A44" s="2" t="s">
        <v>1157</v>
      </c>
      <c r="B44" s="2" t="s">
        <v>5</v>
      </c>
      <c r="C44" s="2" t="s">
        <v>5</v>
      </c>
      <c r="D44" s="4">
        <v>-14</v>
      </c>
      <c r="E44" s="2" t="s">
        <v>5</v>
      </c>
    </row>
    <row r="45" spans="1:5" ht="16" x14ac:dyDescent="0.2">
      <c r="A45" s="2" t="s">
        <v>1161</v>
      </c>
      <c r="B45" s="2" t="s">
        <v>5</v>
      </c>
      <c r="C45" s="2" t="s">
        <v>5</v>
      </c>
      <c r="D45" s="2" t="s">
        <v>5</v>
      </c>
      <c r="E45" s="2" t="s">
        <v>5</v>
      </c>
    </row>
    <row r="46" spans="1:5" ht="16" x14ac:dyDescent="0.2">
      <c r="A46" s="1" t="s">
        <v>1100</v>
      </c>
      <c r="B46" s="2" t="s">
        <v>5</v>
      </c>
      <c r="C46" s="2" t="s">
        <v>5</v>
      </c>
      <c r="D46" s="2" t="s">
        <v>5</v>
      </c>
      <c r="E46" s="2" t="s">
        <v>5</v>
      </c>
    </row>
    <row r="47" spans="1:5" ht="32" x14ac:dyDescent="0.2">
      <c r="A47" s="2" t="s">
        <v>1157</v>
      </c>
      <c r="B47" s="2" t="s">
        <v>5</v>
      </c>
      <c r="C47" s="2" t="s">
        <v>5</v>
      </c>
      <c r="D47" s="4">
        <v>-1</v>
      </c>
      <c r="E47" s="2" t="s">
        <v>5</v>
      </c>
    </row>
    <row r="48" spans="1:5" ht="16" x14ac:dyDescent="0.2">
      <c r="A48" s="2" t="s">
        <v>1108</v>
      </c>
      <c r="B48" s="2" t="s">
        <v>5</v>
      </c>
      <c r="C48" s="2" t="s">
        <v>5</v>
      </c>
      <c r="D48" s="2" t="s">
        <v>5</v>
      </c>
      <c r="E48" s="2" t="s">
        <v>5</v>
      </c>
    </row>
    <row r="49" spans="1:5" ht="16" x14ac:dyDescent="0.2">
      <c r="A49" s="1" t="s">
        <v>1100</v>
      </c>
      <c r="B49" s="2" t="s">
        <v>5</v>
      </c>
      <c r="C49" s="2" t="s">
        <v>5</v>
      </c>
      <c r="D49" s="2" t="s">
        <v>5</v>
      </c>
      <c r="E49" s="2" t="s">
        <v>5</v>
      </c>
    </row>
    <row r="50" spans="1:5" ht="16" x14ac:dyDescent="0.2">
      <c r="A50" s="2" t="s">
        <v>1120</v>
      </c>
      <c r="B50" s="2" t="s">
        <v>5</v>
      </c>
      <c r="C50" s="2" t="s">
        <v>111</v>
      </c>
      <c r="D50" s="2" t="s">
        <v>111</v>
      </c>
      <c r="E50" s="2" t="s">
        <v>5</v>
      </c>
    </row>
    <row r="51" spans="1:5" ht="16" x14ac:dyDescent="0.2">
      <c r="A51" s="2" t="s">
        <v>1148</v>
      </c>
      <c r="B51" s="2" t="s">
        <v>5</v>
      </c>
      <c r="C51" s="5">
        <v>163</v>
      </c>
      <c r="D51" s="5">
        <v>140</v>
      </c>
      <c r="E51" s="5">
        <v>172</v>
      </c>
    </row>
    <row r="52" spans="1:5" ht="16" x14ac:dyDescent="0.2">
      <c r="A52" s="2" t="s">
        <v>1162</v>
      </c>
      <c r="B52" s="2" t="s">
        <v>5</v>
      </c>
      <c r="C52" s="2" t="s">
        <v>5</v>
      </c>
      <c r="D52" s="2" t="s">
        <v>5</v>
      </c>
      <c r="E52" s="2" t="s">
        <v>5</v>
      </c>
    </row>
    <row r="53" spans="1:5" ht="16" x14ac:dyDescent="0.2">
      <c r="A53" s="1" t="s">
        <v>1100</v>
      </c>
      <c r="B53" s="2" t="s">
        <v>5</v>
      </c>
      <c r="C53" s="2" t="s">
        <v>5</v>
      </c>
      <c r="D53" s="2" t="s">
        <v>5</v>
      </c>
      <c r="E53" s="2" t="s">
        <v>5</v>
      </c>
    </row>
    <row r="54" spans="1:5" ht="16" x14ac:dyDescent="0.2">
      <c r="A54" s="2" t="s">
        <v>1149</v>
      </c>
      <c r="B54" s="2" t="s">
        <v>5</v>
      </c>
      <c r="C54" s="8">
        <v>0.4</v>
      </c>
      <c r="D54" s="2" t="s">
        <v>5</v>
      </c>
      <c r="E54" s="2" t="s">
        <v>5</v>
      </c>
    </row>
    <row r="55" spans="1:5" ht="16" x14ac:dyDescent="0.2">
      <c r="A55" s="2" t="s">
        <v>1163</v>
      </c>
      <c r="B55" s="2" t="s">
        <v>5</v>
      </c>
      <c r="C55" s="2" t="s">
        <v>5</v>
      </c>
      <c r="D55" s="2" t="s">
        <v>5</v>
      </c>
      <c r="E55" s="2" t="s">
        <v>5</v>
      </c>
    </row>
    <row r="56" spans="1:5" ht="16" x14ac:dyDescent="0.2">
      <c r="A56" s="1" t="s">
        <v>1100</v>
      </c>
      <c r="B56" s="2" t="s">
        <v>5</v>
      </c>
      <c r="C56" s="2" t="s">
        <v>5</v>
      </c>
      <c r="D56" s="2" t="s">
        <v>5</v>
      </c>
      <c r="E56" s="2" t="s">
        <v>5</v>
      </c>
    </row>
    <row r="57" spans="1:5" ht="16" x14ac:dyDescent="0.2">
      <c r="A57" s="2" t="s">
        <v>1149</v>
      </c>
      <c r="B57" s="2" t="s">
        <v>5</v>
      </c>
      <c r="C57" s="8">
        <v>0.6</v>
      </c>
      <c r="D57" s="2" t="s">
        <v>5</v>
      </c>
      <c r="E57" s="2" t="s">
        <v>5</v>
      </c>
    </row>
  </sheetData>
  <mergeCells count="2">
    <mergeCell ref="A1:A2"/>
    <mergeCell ref="C1:E1"/>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5"/>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1164</v>
      </c>
      <c r="B1" s="12" t="s">
        <v>2</v>
      </c>
      <c r="C1" s="12" t="s">
        <v>75</v>
      </c>
    </row>
    <row r="2" spans="1:3" ht="16" x14ac:dyDescent="0.2">
      <c r="A2" s="1" t="s">
        <v>1100</v>
      </c>
      <c r="B2" s="2" t="s">
        <v>5</v>
      </c>
      <c r="C2" s="2" t="s">
        <v>5</v>
      </c>
    </row>
    <row r="3" spans="1:3" ht="16" x14ac:dyDescent="0.2">
      <c r="A3" s="2" t="s">
        <v>1165</v>
      </c>
      <c r="B3" s="5">
        <v>47665</v>
      </c>
      <c r="C3" s="5">
        <v>48134</v>
      </c>
    </row>
    <row r="4" spans="1:3" ht="16" x14ac:dyDescent="0.2">
      <c r="A4" s="2" t="s">
        <v>1166</v>
      </c>
      <c r="B4" s="4">
        <v>41666</v>
      </c>
      <c r="C4" s="4">
        <v>42491</v>
      </c>
    </row>
    <row r="5" spans="1:3" ht="16" x14ac:dyDescent="0.2">
      <c r="A5" s="2" t="s">
        <v>1167</v>
      </c>
      <c r="B5" s="5">
        <v>48320</v>
      </c>
      <c r="C5" s="5">
        <v>48770</v>
      </c>
    </row>
  </sheetData>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D12"/>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1168</v>
      </c>
      <c r="B1" s="61" t="s">
        <v>1</v>
      </c>
      <c r="C1" s="60"/>
      <c r="D1" s="60"/>
    </row>
    <row r="2" spans="1:4" ht="16" x14ac:dyDescent="0.2">
      <c r="A2" s="60"/>
      <c r="B2" s="12" t="s">
        <v>2</v>
      </c>
      <c r="C2" s="12" t="s">
        <v>75</v>
      </c>
      <c r="D2" s="12" t="s">
        <v>76</v>
      </c>
    </row>
    <row r="3" spans="1:4" ht="16" x14ac:dyDescent="0.2">
      <c r="A3" s="1" t="s">
        <v>1100</v>
      </c>
      <c r="B3" s="2" t="s">
        <v>5</v>
      </c>
      <c r="C3" s="2" t="s">
        <v>5</v>
      </c>
      <c r="D3" s="2" t="s">
        <v>5</v>
      </c>
    </row>
    <row r="4" spans="1:4" ht="16" x14ac:dyDescent="0.2">
      <c r="A4" s="2" t="s">
        <v>1103</v>
      </c>
      <c r="B4" s="8">
        <v>0.06</v>
      </c>
      <c r="C4" s="8">
        <v>0.06</v>
      </c>
      <c r="D4" s="9">
        <v>6.3E-2</v>
      </c>
    </row>
    <row r="5" spans="1:4" ht="16" x14ac:dyDescent="0.2">
      <c r="A5" s="2" t="s">
        <v>1169</v>
      </c>
      <c r="B5" s="9">
        <v>4.2999999999999997E-2</v>
      </c>
      <c r="C5" s="9">
        <v>4.2999999999999997E-2</v>
      </c>
      <c r="D5" s="9">
        <v>4.2999999999999997E-2</v>
      </c>
    </row>
    <row r="6" spans="1:4" ht="16" x14ac:dyDescent="0.2">
      <c r="A6" s="2" t="s">
        <v>1170</v>
      </c>
      <c r="B6" s="8">
        <v>0.05</v>
      </c>
      <c r="C6" s="8">
        <v>0.05</v>
      </c>
      <c r="D6" s="8">
        <v>0.05</v>
      </c>
    </row>
    <row r="7" spans="1:4" ht="16" x14ac:dyDescent="0.2">
      <c r="A7" s="2" t="s">
        <v>1099</v>
      </c>
      <c r="B7" s="2" t="s">
        <v>5</v>
      </c>
      <c r="C7" s="2" t="s">
        <v>5</v>
      </c>
      <c r="D7" s="2" t="s">
        <v>5</v>
      </c>
    </row>
    <row r="8" spans="1:4" ht="16" x14ac:dyDescent="0.2">
      <c r="A8" s="1" t="s">
        <v>1100</v>
      </c>
      <c r="B8" s="2" t="s">
        <v>5</v>
      </c>
      <c r="C8" s="2" t="s">
        <v>5</v>
      </c>
      <c r="D8" s="2" t="s">
        <v>5</v>
      </c>
    </row>
    <row r="9" spans="1:4" ht="16" x14ac:dyDescent="0.2">
      <c r="A9" s="2" t="s">
        <v>1171</v>
      </c>
      <c r="B9" s="9">
        <v>5.0999999999999997E-2</v>
      </c>
      <c r="C9" s="9">
        <v>5.3999999999999999E-2</v>
      </c>
      <c r="D9" s="9">
        <v>2.8000000000000001E-2</v>
      </c>
    </row>
    <row r="10" spans="1:4" ht="16" x14ac:dyDescent="0.2">
      <c r="A10" s="2" t="s">
        <v>1108</v>
      </c>
      <c r="B10" s="2" t="s">
        <v>5</v>
      </c>
      <c r="C10" s="2" t="s">
        <v>5</v>
      </c>
      <c r="D10" s="2" t="s">
        <v>5</v>
      </c>
    </row>
    <row r="11" spans="1:4" ht="16" x14ac:dyDescent="0.2">
      <c r="A11" s="1" t="s">
        <v>1100</v>
      </c>
      <c r="B11" s="2" t="s">
        <v>5</v>
      </c>
      <c r="C11" s="2" t="s">
        <v>5</v>
      </c>
      <c r="D11" s="2" t="s">
        <v>5</v>
      </c>
    </row>
    <row r="12" spans="1:4" ht="16" x14ac:dyDescent="0.2">
      <c r="A12" s="2" t="s">
        <v>1171</v>
      </c>
      <c r="B12" s="8">
        <v>0.05</v>
      </c>
      <c r="C12" s="9">
        <v>5.2999999999999999E-2</v>
      </c>
      <c r="D12" s="9">
        <v>2.5000000000000001E-2</v>
      </c>
    </row>
  </sheetData>
  <mergeCells count="2">
    <mergeCell ref="A1:A2"/>
    <mergeCell ref="B1:D1"/>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D4"/>
  <sheetViews>
    <sheetView workbookViewId="0"/>
  </sheetViews>
  <sheetFormatPr baseColWidth="10" defaultColWidth="8.83203125" defaultRowHeight="15" x14ac:dyDescent="0.2"/>
  <cols>
    <col min="1" max="1" width="80" customWidth="1"/>
    <col min="2" max="4" width="14" customWidth="1"/>
  </cols>
  <sheetData>
    <row r="1" spans="1:4" ht="16" x14ac:dyDescent="0.2">
      <c r="A1" s="11" t="s">
        <v>1172</v>
      </c>
      <c r="B1" s="12" t="s">
        <v>2</v>
      </c>
      <c r="C1" s="12" t="s">
        <v>75</v>
      </c>
      <c r="D1" s="12" t="s">
        <v>76</v>
      </c>
    </row>
    <row r="2" spans="1:4" ht="16" x14ac:dyDescent="0.2">
      <c r="A2" s="1" t="s">
        <v>370</v>
      </c>
      <c r="B2" s="2" t="s">
        <v>5</v>
      </c>
      <c r="C2" s="2" t="s">
        <v>5</v>
      </c>
      <c r="D2" s="2" t="s">
        <v>5</v>
      </c>
    </row>
    <row r="3" spans="1:4" ht="16" x14ac:dyDescent="0.2">
      <c r="A3" s="2" t="s">
        <v>1173</v>
      </c>
      <c r="B3" s="9">
        <v>5.5E-2</v>
      </c>
      <c r="C3" s="9">
        <v>5.5E-2</v>
      </c>
      <c r="D3" s="9">
        <v>4.4999999999999998E-2</v>
      </c>
    </row>
    <row r="4" spans="1:4" ht="16" x14ac:dyDescent="0.2">
      <c r="A4" s="2" t="s">
        <v>1174</v>
      </c>
      <c r="B4" s="9">
        <v>4.4999999999999998E-2</v>
      </c>
      <c r="C4" s="9">
        <v>4.4999999999999998E-2</v>
      </c>
      <c r="D4" s="9">
        <v>4.4999999999999998E-2</v>
      </c>
    </row>
  </sheetData>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24"/>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1175</v>
      </c>
      <c r="B1" s="12" t="s">
        <v>2</v>
      </c>
      <c r="C1" s="12" t="s">
        <v>75</v>
      </c>
    </row>
    <row r="2" spans="1:3" ht="16" x14ac:dyDescent="0.2">
      <c r="A2" s="1" t="s">
        <v>1100</v>
      </c>
      <c r="B2" s="2" t="s">
        <v>5</v>
      </c>
      <c r="C2" s="2" t="s">
        <v>5</v>
      </c>
    </row>
    <row r="3" spans="1:3" ht="16" x14ac:dyDescent="0.2">
      <c r="A3" s="2" t="s">
        <v>1149</v>
      </c>
      <c r="B3" s="8">
        <v>1</v>
      </c>
      <c r="C3" s="8">
        <v>1</v>
      </c>
    </row>
    <row r="4" spans="1:3" ht="16" x14ac:dyDescent="0.2">
      <c r="A4" s="2" t="s">
        <v>1176</v>
      </c>
      <c r="B4" s="8">
        <v>1</v>
      </c>
      <c r="C4" s="8">
        <v>1</v>
      </c>
    </row>
    <row r="5" spans="1:3" ht="16" x14ac:dyDescent="0.2">
      <c r="A5" s="2" t="s">
        <v>1177</v>
      </c>
      <c r="B5" s="2" t="s">
        <v>5</v>
      </c>
      <c r="C5" s="2" t="s">
        <v>5</v>
      </c>
    </row>
    <row r="6" spans="1:3" ht="16" x14ac:dyDescent="0.2">
      <c r="A6" s="1" t="s">
        <v>1100</v>
      </c>
      <c r="B6" s="2" t="s">
        <v>5</v>
      </c>
      <c r="C6" s="2" t="s">
        <v>5</v>
      </c>
    </row>
    <row r="7" spans="1:3" ht="16" x14ac:dyDescent="0.2">
      <c r="A7" s="2" t="s">
        <v>1149</v>
      </c>
      <c r="B7" s="8">
        <v>0.6</v>
      </c>
      <c r="C7" s="8">
        <v>0.63</v>
      </c>
    </row>
    <row r="8" spans="1:3" ht="16" x14ac:dyDescent="0.2">
      <c r="A8" s="2" t="s">
        <v>1176</v>
      </c>
      <c r="B8" s="8">
        <v>0.59</v>
      </c>
      <c r="C8" s="8">
        <v>0.63</v>
      </c>
    </row>
    <row r="9" spans="1:3" ht="16" x14ac:dyDescent="0.2">
      <c r="A9" s="2" t="s">
        <v>1178</v>
      </c>
      <c r="B9" s="2" t="s">
        <v>5</v>
      </c>
      <c r="C9" s="2" t="s">
        <v>5</v>
      </c>
    </row>
    <row r="10" spans="1:3" ht="16" x14ac:dyDescent="0.2">
      <c r="A10" s="1" t="s">
        <v>1100</v>
      </c>
      <c r="B10" s="2" t="s">
        <v>5</v>
      </c>
      <c r="C10" s="2" t="s">
        <v>5</v>
      </c>
    </row>
    <row r="11" spans="1:3" ht="16" x14ac:dyDescent="0.2">
      <c r="A11" s="2" t="s">
        <v>1149</v>
      </c>
      <c r="B11" s="8">
        <v>0.19</v>
      </c>
      <c r="C11" s="8">
        <v>0.14000000000000001</v>
      </c>
    </row>
    <row r="12" spans="1:3" ht="16" x14ac:dyDescent="0.2">
      <c r="A12" s="2" t="s">
        <v>1176</v>
      </c>
      <c r="B12" s="8">
        <v>0.2</v>
      </c>
      <c r="C12" s="8">
        <v>0.2</v>
      </c>
    </row>
    <row r="13" spans="1:3" ht="16" x14ac:dyDescent="0.2">
      <c r="A13" s="2" t="s">
        <v>1179</v>
      </c>
      <c r="B13" s="2" t="s">
        <v>5</v>
      </c>
      <c r="C13" s="2" t="s">
        <v>5</v>
      </c>
    </row>
    <row r="14" spans="1:3" ht="16" x14ac:dyDescent="0.2">
      <c r="A14" s="1" t="s">
        <v>1100</v>
      </c>
      <c r="B14" s="2" t="s">
        <v>5</v>
      </c>
      <c r="C14" s="2" t="s">
        <v>5</v>
      </c>
    </row>
    <row r="15" spans="1:3" ht="16" x14ac:dyDescent="0.2">
      <c r="A15" s="2" t="s">
        <v>1149</v>
      </c>
      <c r="B15" s="8">
        <v>0.08</v>
      </c>
      <c r="C15" s="8">
        <v>0.08</v>
      </c>
    </row>
    <row r="16" spans="1:3" ht="16" x14ac:dyDescent="0.2">
      <c r="A16" s="2" t="s">
        <v>1176</v>
      </c>
      <c r="B16" s="8">
        <v>7.0000000000000007E-2</v>
      </c>
      <c r="C16" s="8">
        <v>0.04</v>
      </c>
    </row>
    <row r="17" spans="1:3" ht="16" x14ac:dyDescent="0.2">
      <c r="A17" s="2" t="s">
        <v>1180</v>
      </c>
      <c r="B17" s="2" t="s">
        <v>5</v>
      </c>
      <c r="C17" s="2" t="s">
        <v>5</v>
      </c>
    </row>
    <row r="18" spans="1:3" ht="16" x14ac:dyDescent="0.2">
      <c r="A18" s="1" t="s">
        <v>1100</v>
      </c>
      <c r="B18" s="2" t="s">
        <v>5</v>
      </c>
      <c r="C18" s="2" t="s">
        <v>5</v>
      </c>
    </row>
    <row r="19" spans="1:3" ht="16" x14ac:dyDescent="0.2">
      <c r="A19" s="2" t="s">
        <v>1149</v>
      </c>
      <c r="B19" s="8">
        <v>7.0000000000000007E-2</v>
      </c>
      <c r="C19" s="8">
        <v>0.08</v>
      </c>
    </row>
    <row r="20" spans="1:3" ht="16" x14ac:dyDescent="0.2">
      <c r="A20" s="2" t="s">
        <v>1176</v>
      </c>
      <c r="B20" s="8">
        <v>7.0000000000000007E-2</v>
      </c>
      <c r="C20" s="8">
        <v>7.0000000000000007E-2</v>
      </c>
    </row>
    <row r="21" spans="1:3" ht="16" x14ac:dyDescent="0.2">
      <c r="A21" s="2" t="s">
        <v>1181</v>
      </c>
      <c r="B21" s="2" t="s">
        <v>5</v>
      </c>
      <c r="C21" s="2" t="s">
        <v>5</v>
      </c>
    </row>
    <row r="22" spans="1:3" ht="16" x14ac:dyDescent="0.2">
      <c r="A22" s="1" t="s">
        <v>1100</v>
      </c>
      <c r="B22" s="2" t="s">
        <v>5</v>
      </c>
      <c r="C22" s="2" t="s">
        <v>5</v>
      </c>
    </row>
    <row r="23" spans="1:3" ht="16" x14ac:dyDescent="0.2">
      <c r="A23" s="2" t="s">
        <v>1149</v>
      </c>
      <c r="B23" s="8">
        <v>0.06</v>
      </c>
      <c r="C23" s="8">
        <v>7.0000000000000007E-2</v>
      </c>
    </row>
    <row r="24" spans="1:3" ht="16" x14ac:dyDescent="0.2">
      <c r="A24" s="2" t="s">
        <v>1176</v>
      </c>
      <c r="B24" s="8">
        <v>7.0000000000000007E-2</v>
      </c>
      <c r="C24" s="8">
        <v>0.06</v>
      </c>
    </row>
  </sheetData>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D164"/>
  <sheetViews>
    <sheetView workbookViewId="0"/>
  </sheetViews>
  <sheetFormatPr baseColWidth="10" defaultColWidth="8.83203125" defaultRowHeight="15" x14ac:dyDescent="0.2"/>
  <cols>
    <col min="1" max="1" width="80" customWidth="1"/>
    <col min="2" max="4" width="14" customWidth="1"/>
  </cols>
  <sheetData>
    <row r="1" spans="1:4" ht="16" x14ac:dyDescent="0.2">
      <c r="A1" s="11" t="s">
        <v>1182</v>
      </c>
      <c r="B1" s="12" t="s">
        <v>2</v>
      </c>
      <c r="C1" s="12" t="s">
        <v>75</v>
      </c>
      <c r="D1" s="12" t="s">
        <v>76</v>
      </c>
    </row>
    <row r="2" spans="1:4" ht="16" x14ac:dyDescent="0.2">
      <c r="A2" s="2" t="s">
        <v>1183</v>
      </c>
      <c r="B2" s="2" t="s">
        <v>5</v>
      </c>
      <c r="C2" s="2" t="s">
        <v>5</v>
      </c>
      <c r="D2" s="2" t="s">
        <v>5</v>
      </c>
    </row>
    <row r="3" spans="1:4" ht="16" x14ac:dyDescent="0.2">
      <c r="A3" s="1" t="s">
        <v>1100</v>
      </c>
      <c r="B3" s="2" t="s">
        <v>5</v>
      </c>
      <c r="C3" s="2" t="s">
        <v>5</v>
      </c>
      <c r="D3" s="2" t="s">
        <v>5</v>
      </c>
    </row>
    <row r="4" spans="1:4" ht="16" x14ac:dyDescent="0.2">
      <c r="A4" s="2" t="s">
        <v>1148</v>
      </c>
      <c r="B4" s="5">
        <v>33056</v>
      </c>
      <c r="C4" s="5">
        <v>32753</v>
      </c>
      <c r="D4" s="2" t="s">
        <v>5</v>
      </c>
    </row>
    <row r="5" spans="1:4" ht="16" x14ac:dyDescent="0.2">
      <c r="A5" s="2" t="s">
        <v>1148</v>
      </c>
      <c r="B5" s="4">
        <v>48891</v>
      </c>
      <c r="C5" s="4">
        <v>49825</v>
      </c>
      <c r="D5" s="5">
        <v>67813</v>
      </c>
    </row>
    <row r="6" spans="1:4" ht="16" x14ac:dyDescent="0.2">
      <c r="A6" s="2" t="s">
        <v>1184</v>
      </c>
      <c r="B6" s="4">
        <v>15435</v>
      </c>
      <c r="C6" s="4">
        <v>16255</v>
      </c>
      <c r="D6" s="2" t="s">
        <v>5</v>
      </c>
    </row>
    <row r="7" spans="1:4" ht="16" x14ac:dyDescent="0.2">
      <c r="A7" s="2" t="s">
        <v>1185</v>
      </c>
      <c r="B7" s="2" t="s">
        <v>5</v>
      </c>
      <c r="C7" s="2" t="s">
        <v>5</v>
      </c>
      <c r="D7" s="2" t="s">
        <v>5</v>
      </c>
    </row>
    <row r="8" spans="1:4" ht="16" x14ac:dyDescent="0.2">
      <c r="A8" s="1" t="s">
        <v>1100</v>
      </c>
      <c r="B8" s="2" t="s">
        <v>5</v>
      </c>
      <c r="C8" s="2" t="s">
        <v>5</v>
      </c>
      <c r="D8" s="2" t="s">
        <v>5</v>
      </c>
    </row>
    <row r="9" spans="1:4" ht="16" x14ac:dyDescent="0.2">
      <c r="A9" s="2" t="s">
        <v>1148</v>
      </c>
      <c r="B9" s="4">
        <v>5950</v>
      </c>
      <c r="C9" s="4">
        <v>7054</v>
      </c>
      <c r="D9" s="2" t="s">
        <v>5</v>
      </c>
    </row>
    <row r="10" spans="1:4" ht="16" x14ac:dyDescent="0.2">
      <c r="A10" s="2" t="s">
        <v>1186</v>
      </c>
      <c r="B10" s="2" t="s">
        <v>5</v>
      </c>
      <c r="C10" s="2" t="s">
        <v>5</v>
      </c>
      <c r="D10" s="2" t="s">
        <v>5</v>
      </c>
    </row>
    <row r="11" spans="1:4" ht="16" x14ac:dyDescent="0.2">
      <c r="A11" s="1" t="s">
        <v>1100</v>
      </c>
      <c r="B11" s="2" t="s">
        <v>5</v>
      </c>
      <c r="C11" s="2" t="s">
        <v>5</v>
      </c>
      <c r="D11" s="2" t="s">
        <v>5</v>
      </c>
    </row>
    <row r="12" spans="1:4" ht="16" x14ac:dyDescent="0.2">
      <c r="A12" s="2" t="s">
        <v>1148</v>
      </c>
      <c r="B12" s="4">
        <v>26880</v>
      </c>
      <c r="C12" s="4">
        <v>25431</v>
      </c>
      <c r="D12" s="2" t="s">
        <v>5</v>
      </c>
    </row>
    <row r="13" spans="1:4" ht="16" x14ac:dyDescent="0.2">
      <c r="A13" s="2" t="s">
        <v>1187</v>
      </c>
      <c r="B13" s="2" t="s">
        <v>5</v>
      </c>
      <c r="C13" s="2" t="s">
        <v>5</v>
      </c>
      <c r="D13" s="2" t="s">
        <v>5</v>
      </c>
    </row>
    <row r="14" spans="1:4" ht="16" x14ac:dyDescent="0.2">
      <c r="A14" s="1" t="s">
        <v>1100</v>
      </c>
      <c r="B14" s="2" t="s">
        <v>5</v>
      </c>
      <c r="C14" s="2" t="s">
        <v>5</v>
      </c>
      <c r="D14" s="2" t="s">
        <v>5</v>
      </c>
    </row>
    <row r="15" spans="1:4" ht="16" x14ac:dyDescent="0.2">
      <c r="A15" s="2" t="s">
        <v>1148</v>
      </c>
      <c r="B15" s="4">
        <v>226</v>
      </c>
      <c r="C15" s="4">
        <v>268</v>
      </c>
      <c r="D15" s="4">
        <v>198</v>
      </c>
    </row>
    <row r="16" spans="1:4" ht="16" x14ac:dyDescent="0.2">
      <c r="A16" s="2" t="s">
        <v>1188</v>
      </c>
      <c r="B16" s="2" t="s">
        <v>5</v>
      </c>
      <c r="C16" s="2" t="s">
        <v>5</v>
      </c>
      <c r="D16" s="2" t="s">
        <v>5</v>
      </c>
    </row>
    <row r="17" spans="1:4" ht="16" x14ac:dyDescent="0.2">
      <c r="A17" s="1" t="s">
        <v>1100</v>
      </c>
      <c r="B17" s="2" t="s">
        <v>5</v>
      </c>
      <c r="C17" s="2" t="s">
        <v>5</v>
      </c>
      <c r="D17" s="2" t="s">
        <v>5</v>
      </c>
    </row>
    <row r="18" spans="1:4" ht="16" x14ac:dyDescent="0.2">
      <c r="A18" s="2" t="s">
        <v>1148</v>
      </c>
      <c r="B18" s="4">
        <v>326</v>
      </c>
      <c r="C18" s="4">
        <v>571</v>
      </c>
      <c r="D18" s="2" t="s">
        <v>5</v>
      </c>
    </row>
    <row r="19" spans="1:4" ht="16" x14ac:dyDescent="0.2">
      <c r="A19" s="2" t="s">
        <v>1189</v>
      </c>
      <c r="B19" s="2" t="s">
        <v>5</v>
      </c>
      <c r="C19" s="2" t="s">
        <v>5</v>
      </c>
      <c r="D19" s="2" t="s">
        <v>5</v>
      </c>
    </row>
    <row r="20" spans="1:4" ht="16" x14ac:dyDescent="0.2">
      <c r="A20" s="1" t="s">
        <v>1100</v>
      </c>
      <c r="B20" s="2" t="s">
        <v>5</v>
      </c>
      <c r="C20" s="2" t="s">
        <v>5</v>
      </c>
      <c r="D20" s="2" t="s">
        <v>5</v>
      </c>
    </row>
    <row r="21" spans="1:4" ht="16" x14ac:dyDescent="0.2">
      <c r="A21" s="2" t="s">
        <v>1148</v>
      </c>
      <c r="B21" s="4">
        <v>326</v>
      </c>
      <c r="C21" s="4">
        <v>571</v>
      </c>
      <c r="D21" s="2" t="s">
        <v>5</v>
      </c>
    </row>
    <row r="22" spans="1:4" ht="16" x14ac:dyDescent="0.2">
      <c r="A22" s="2" t="s">
        <v>1180</v>
      </c>
      <c r="B22" s="2" t="s">
        <v>5</v>
      </c>
      <c r="C22" s="2" t="s">
        <v>5</v>
      </c>
      <c r="D22" s="2" t="s">
        <v>5</v>
      </c>
    </row>
    <row r="23" spans="1:4" ht="16" x14ac:dyDescent="0.2">
      <c r="A23" s="1" t="s">
        <v>1100</v>
      </c>
      <c r="B23" s="2" t="s">
        <v>5</v>
      </c>
      <c r="C23" s="2" t="s">
        <v>5</v>
      </c>
      <c r="D23" s="2" t="s">
        <v>5</v>
      </c>
    </row>
    <row r="24" spans="1:4" ht="16" x14ac:dyDescent="0.2">
      <c r="A24" s="2" t="s">
        <v>1184</v>
      </c>
      <c r="B24" s="4">
        <v>3138</v>
      </c>
      <c r="C24" s="4">
        <v>3525</v>
      </c>
      <c r="D24" s="2" t="s">
        <v>5</v>
      </c>
    </row>
    <row r="25" spans="1:4" ht="16" x14ac:dyDescent="0.2">
      <c r="A25" s="2" t="s">
        <v>1179</v>
      </c>
      <c r="B25" s="2" t="s">
        <v>5</v>
      </c>
      <c r="C25" s="2" t="s">
        <v>5</v>
      </c>
      <c r="D25" s="2" t="s">
        <v>5</v>
      </c>
    </row>
    <row r="26" spans="1:4" ht="16" x14ac:dyDescent="0.2">
      <c r="A26" s="1" t="s">
        <v>1100</v>
      </c>
      <c r="B26" s="2" t="s">
        <v>5</v>
      </c>
      <c r="C26" s="2" t="s">
        <v>5</v>
      </c>
      <c r="D26" s="2" t="s">
        <v>5</v>
      </c>
    </row>
    <row r="27" spans="1:4" ht="16" x14ac:dyDescent="0.2">
      <c r="A27" s="2" t="s">
        <v>1184</v>
      </c>
      <c r="B27" s="4">
        <v>4102</v>
      </c>
      <c r="C27" s="4">
        <v>4239</v>
      </c>
      <c r="D27" s="2" t="s">
        <v>5</v>
      </c>
    </row>
    <row r="28" spans="1:4" ht="16" x14ac:dyDescent="0.2">
      <c r="A28" s="2" t="s">
        <v>1181</v>
      </c>
      <c r="B28" s="2" t="s">
        <v>5</v>
      </c>
      <c r="C28" s="2" t="s">
        <v>5</v>
      </c>
      <c r="D28" s="2" t="s">
        <v>5</v>
      </c>
    </row>
    <row r="29" spans="1:4" ht="16" x14ac:dyDescent="0.2">
      <c r="A29" s="1" t="s">
        <v>1100</v>
      </c>
      <c r="B29" s="2" t="s">
        <v>5</v>
      </c>
      <c r="C29" s="2" t="s">
        <v>5</v>
      </c>
      <c r="D29" s="2" t="s">
        <v>5</v>
      </c>
    </row>
    <row r="30" spans="1:4" ht="16" x14ac:dyDescent="0.2">
      <c r="A30" s="2" t="s">
        <v>1184</v>
      </c>
      <c r="B30" s="4">
        <v>2751</v>
      </c>
      <c r="C30" s="4">
        <v>3391</v>
      </c>
      <c r="D30" s="2" t="s">
        <v>5</v>
      </c>
    </row>
    <row r="31" spans="1:4" ht="16" x14ac:dyDescent="0.2">
      <c r="A31" s="2" t="s">
        <v>1190</v>
      </c>
      <c r="B31" s="2" t="s">
        <v>5</v>
      </c>
      <c r="C31" s="2" t="s">
        <v>5</v>
      </c>
      <c r="D31" s="2" t="s">
        <v>5</v>
      </c>
    </row>
    <row r="32" spans="1:4" ht="16" x14ac:dyDescent="0.2">
      <c r="A32" s="1" t="s">
        <v>1100</v>
      </c>
      <c r="B32" s="2" t="s">
        <v>5</v>
      </c>
      <c r="C32" s="2" t="s">
        <v>5</v>
      </c>
      <c r="D32" s="2" t="s">
        <v>5</v>
      </c>
    </row>
    <row r="33" spans="1:4" ht="16" x14ac:dyDescent="0.2">
      <c r="A33" s="2" t="s">
        <v>1148</v>
      </c>
      <c r="B33" s="4">
        <v>86</v>
      </c>
      <c r="C33" s="4">
        <v>409</v>
      </c>
      <c r="D33" s="2" t="s">
        <v>5</v>
      </c>
    </row>
    <row r="34" spans="1:4" ht="16" x14ac:dyDescent="0.2">
      <c r="A34" s="2" t="s">
        <v>1191</v>
      </c>
      <c r="B34" s="2" t="s">
        <v>5</v>
      </c>
      <c r="C34" s="2" t="s">
        <v>5</v>
      </c>
      <c r="D34" s="2" t="s">
        <v>5</v>
      </c>
    </row>
    <row r="35" spans="1:4" ht="16" x14ac:dyDescent="0.2">
      <c r="A35" s="1" t="s">
        <v>1100</v>
      </c>
      <c r="B35" s="2" t="s">
        <v>5</v>
      </c>
      <c r="C35" s="2" t="s">
        <v>5</v>
      </c>
      <c r="D35" s="2" t="s">
        <v>5</v>
      </c>
    </row>
    <row r="36" spans="1:4" ht="16" x14ac:dyDescent="0.2">
      <c r="A36" s="2" t="s">
        <v>1148</v>
      </c>
      <c r="B36" s="4">
        <v>438</v>
      </c>
      <c r="C36" s="4">
        <v>541</v>
      </c>
      <c r="D36" s="2" t="s">
        <v>5</v>
      </c>
    </row>
    <row r="37" spans="1:4" ht="16" x14ac:dyDescent="0.2">
      <c r="A37" s="2" t="s">
        <v>1192</v>
      </c>
      <c r="B37" s="2" t="s">
        <v>5</v>
      </c>
      <c r="C37" s="2" t="s">
        <v>5</v>
      </c>
      <c r="D37" s="2" t="s">
        <v>5</v>
      </c>
    </row>
    <row r="38" spans="1:4" ht="16" x14ac:dyDescent="0.2">
      <c r="A38" s="1" t="s">
        <v>1100</v>
      </c>
      <c r="B38" s="2" t="s">
        <v>5</v>
      </c>
      <c r="C38" s="2" t="s">
        <v>5</v>
      </c>
      <c r="D38" s="2" t="s">
        <v>5</v>
      </c>
    </row>
    <row r="39" spans="1:4" ht="16" x14ac:dyDescent="0.2">
      <c r="A39" s="2" t="s">
        <v>1148</v>
      </c>
      <c r="B39" s="4">
        <v>-124</v>
      </c>
      <c r="C39" s="4">
        <v>-133</v>
      </c>
      <c r="D39" s="2" t="s">
        <v>5</v>
      </c>
    </row>
    <row r="40" spans="1:4" ht="16" x14ac:dyDescent="0.2">
      <c r="A40" s="2" t="s">
        <v>1193</v>
      </c>
      <c r="B40" s="2" t="s">
        <v>5</v>
      </c>
      <c r="C40" s="2" t="s">
        <v>5</v>
      </c>
      <c r="D40" s="2" t="s">
        <v>5</v>
      </c>
    </row>
    <row r="41" spans="1:4" ht="16" x14ac:dyDescent="0.2">
      <c r="A41" s="1" t="s">
        <v>1100</v>
      </c>
      <c r="B41" s="2" t="s">
        <v>5</v>
      </c>
      <c r="C41" s="2" t="s">
        <v>5</v>
      </c>
      <c r="D41" s="2" t="s">
        <v>5</v>
      </c>
    </row>
    <row r="42" spans="1:4" ht="16" x14ac:dyDescent="0.2">
      <c r="A42" s="2" t="s">
        <v>1148</v>
      </c>
      <c r="B42" s="4">
        <v>17809</v>
      </c>
      <c r="C42" s="4">
        <v>15095</v>
      </c>
      <c r="D42" s="2" t="s">
        <v>5</v>
      </c>
    </row>
    <row r="43" spans="1:4" ht="16" x14ac:dyDescent="0.2">
      <c r="A43" s="2" t="s">
        <v>1194</v>
      </c>
      <c r="B43" s="2" t="s">
        <v>5</v>
      </c>
      <c r="C43" s="2" t="s">
        <v>5</v>
      </c>
      <c r="D43" s="2" t="s">
        <v>5</v>
      </c>
    </row>
    <row r="44" spans="1:4" ht="16" x14ac:dyDescent="0.2">
      <c r="A44" s="1" t="s">
        <v>1100</v>
      </c>
      <c r="B44" s="2" t="s">
        <v>5</v>
      </c>
      <c r="C44" s="2" t="s">
        <v>5</v>
      </c>
      <c r="D44" s="2" t="s">
        <v>5</v>
      </c>
    </row>
    <row r="45" spans="1:4" ht="16" x14ac:dyDescent="0.2">
      <c r="A45" s="2" t="s">
        <v>1148</v>
      </c>
      <c r="B45" s="4">
        <v>17750</v>
      </c>
      <c r="C45" s="4">
        <v>15025</v>
      </c>
      <c r="D45" s="2" t="s">
        <v>5</v>
      </c>
    </row>
    <row r="46" spans="1:4" ht="16" x14ac:dyDescent="0.2">
      <c r="A46" s="2" t="s">
        <v>1195</v>
      </c>
      <c r="B46" s="2" t="s">
        <v>5</v>
      </c>
      <c r="C46" s="2" t="s">
        <v>5</v>
      </c>
      <c r="D46" s="2" t="s">
        <v>5</v>
      </c>
    </row>
    <row r="47" spans="1:4" ht="16" x14ac:dyDescent="0.2">
      <c r="A47" s="1" t="s">
        <v>1100</v>
      </c>
      <c r="B47" s="2" t="s">
        <v>5</v>
      </c>
      <c r="C47" s="2" t="s">
        <v>5</v>
      </c>
      <c r="D47" s="2" t="s">
        <v>5</v>
      </c>
    </row>
    <row r="48" spans="1:4" ht="16" x14ac:dyDescent="0.2">
      <c r="A48" s="2" t="s">
        <v>1148</v>
      </c>
      <c r="B48" s="4">
        <v>59</v>
      </c>
      <c r="C48" s="4">
        <v>70</v>
      </c>
      <c r="D48" s="4">
        <v>53</v>
      </c>
    </row>
    <row r="49" spans="1:4" ht="16" x14ac:dyDescent="0.2">
      <c r="A49" s="2" t="s">
        <v>1196</v>
      </c>
      <c r="B49" s="2" t="s">
        <v>5</v>
      </c>
      <c r="C49" s="2" t="s">
        <v>5</v>
      </c>
      <c r="D49" s="2" t="s">
        <v>5</v>
      </c>
    </row>
    <row r="50" spans="1:4" ht="16" x14ac:dyDescent="0.2">
      <c r="A50" s="1" t="s">
        <v>1100</v>
      </c>
      <c r="B50" s="2" t="s">
        <v>5</v>
      </c>
      <c r="C50" s="2" t="s">
        <v>5</v>
      </c>
      <c r="D50" s="2" t="s">
        <v>5</v>
      </c>
    </row>
    <row r="51" spans="1:4" ht="16" x14ac:dyDescent="0.2">
      <c r="A51" s="2" t="s">
        <v>1148</v>
      </c>
      <c r="B51" s="4">
        <v>6822</v>
      </c>
      <c r="C51" s="4">
        <v>7827</v>
      </c>
      <c r="D51" s="2" t="s">
        <v>5</v>
      </c>
    </row>
    <row r="52" spans="1:4" ht="16" x14ac:dyDescent="0.2">
      <c r="A52" s="2" t="s">
        <v>1197</v>
      </c>
      <c r="B52" s="2" t="s">
        <v>5</v>
      </c>
      <c r="C52" s="2" t="s">
        <v>5</v>
      </c>
      <c r="D52" s="2" t="s">
        <v>5</v>
      </c>
    </row>
    <row r="53" spans="1:4" ht="16" x14ac:dyDescent="0.2">
      <c r="A53" s="1" t="s">
        <v>1100</v>
      </c>
      <c r="B53" s="2" t="s">
        <v>5</v>
      </c>
      <c r="C53" s="2" t="s">
        <v>5</v>
      </c>
      <c r="D53" s="2" t="s">
        <v>5</v>
      </c>
    </row>
    <row r="54" spans="1:4" ht="16" x14ac:dyDescent="0.2">
      <c r="A54" s="2" t="s">
        <v>1148</v>
      </c>
      <c r="B54" s="4">
        <v>6822</v>
      </c>
      <c r="C54" s="4">
        <v>7827</v>
      </c>
      <c r="D54" s="2" t="s">
        <v>5</v>
      </c>
    </row>
    <row r="55" spans="1:4" ht="16" x14ac:dyDescent="0.2">
      <c r="A55" s="2" t="s">
        <v>1198</v>
      </c>
      <c r="B55" s="2" t="s">
        <v>5</v>
      </c>
      <c r="C55" s="2" t="s">
        <v>5</v>
      </c>
      <c r="D55" s="2" t="s">
        <v>5</v>
      </c>
    </row>
    <row r="56" spans="1:4" ht="16" x14ac:dyDescent="0.2">
      <c r="A56" s="1" t="s">
        <v>1100</v>
      </c>
      <c r="B56" s="2" t="s">
        <v>5</v>
      </c>
      <c r="C56" s="2" t="s">
        <v>5</v>
      </c>
      <c r="D56" s="2" t="s">
        <v>5</v>
      </c>
    </row>
    <row r="57" spans="1:4" ht="16" x14ac:dyDescent="0.2">
      <c r="A57" s="2" t="s">
        <v>1148</v>
      </c>
      <c r="B57" s="4">
        <v>505</v>
      </c>
      <c r="C57" s="4">
        <v>664</v>
      </c>
      <c r="D57" s="2" t="s">
        <v>5</v>
      </c>
    </row>
    <row r="58" spans="1:4" ht="16" x14ac:dyDescent="0.2">
      <c r="A58" s="2" t="s">
        <v>1199</v>
      </c>
      <c r="B58" s="2" t="s">
        <v>5</v>
      </c>
      <c r="C58" s="2" t="s">
        <v>5</v>
      </c>
      <c r="D58" s="2" t="s">
        <v>5</v>
      </c>
    </row>
    <row r="59" spans="1:4" ht="16" x14ac:dyDescent="0.2">
      <c r="A59" s="1" t="s">
        <v>1100</v>
      </c>
      <c r="B59" s="2" t="s">
        <v>5</v>
      </c>
      <c r="C59" s="2" t="s">
        <v>5</v>
      </c>
      <c r="D59" s="2" t="s">
        <v>5</v>
      </c>
    </row>
    <row r="60" spans="1:4" ht="16" x14ac:dyDescent="0.2">
      <c r="A60" s="2" t="s">
        <v>1148</v>
      </c>
      <c r="B60" s="4">
        <v>344</v>
      </c>
      <c r="C60" s="4">
        <v>502</v>
      </c>
      <c r="D60" s="2" t="s">
        <v>5</v>
      </c>
    </row>
    <row r="61" spans="1:4" ht="16" x14ac:dyDescent="0.2">
      <c r="A61" s="2" t="s">
        <v>1200</v>
      </c>
      <c r="B61" s="2" t="s">
        <v>5</v>
      </c>
      <c r="C61" s="2" t="s">
        <v>5</v>
      </c>
      <c r="D61" s="2" t="s">
        <v>5</v>
      </c>
    </row>
    <row r="62" spans="1:4" ht="16" x14ac:dyDescent="0.2">
      <c r="A62" s="1" t="s">
        <v>1100</v>
      </c>
      <c r="B62" s="2" t="s">
        <v>5</v>
      </c>
      <c r="C62" s="2" t="s">
        <v>5</v>
      </c>
      <c r="D62" s="2" t="s">
        <v>5</v>
      </c>
    </row>
    <row r="63" spans="1:4" ht="16" x14ac:dyDescent="0.2">
      <c r="A63" s="2" t="s">
        <v>1148</v>
      </c>
      <c r="B63" s="4">
        <v>161</v>
      </c>
      <c r="C63" s="4">
        <v>162</v>
      </c>
      <c r="D63" s="4">
        <v>102</v>
      </c>
    </row>
    <row r="64" spans="1:4" ht="16" x14ac:dyDescent="0.2">
      <c r="A64" s="2" t="s">
        <v>1201</v>
      </c>
      <c r="B64" s="2" t="s">
        <v>5</v>
      </c>
      <c r="C64" s="2" t="s">
        <v>5</v>
      </c>
      <c r="D64" s="2" t="s">
        <v>5</v>
      </c>
    </row>
    <row r="65" spans="1:4" ht="16" x14ac:dyDescent="0.2">
      <c r="A65" s="1" t="s">
        <v>1100</v>
      </c>
      <c r="B65" s="2" t="s">
        <v>5</v>
      </c>
      <c r="C65" s="2" t="s">
        <v>5</v>
      </c>
      <c r="D65" s="2" t="s">
        <v>5</v>
      </c>
    </row>
    <row r="66" spans="1:4" ht="16" x14ac:dyDescent="0.2">
      <c r="A66" s="2" t="s">
        <v>1148</v>
      </c>
      <c r="B66" s="4">
        <v>816</v>
      </c>
      <c r="C66" s="4">
        <v>843</v>
      </c>
      <c r="D66" s="2" t="s">
        <v>5</v>
      </c>
    </row>
    <row r="67" spans="1:4" ht="16" x14ac:dyDescent="0.2">
      <c r="A67" s="2" t="s">
        <v>1202</v>
      </c>
      <c r="B67" s="2" t="s">
        <v>5</v>
      </c>
      <c r="C67" s="2" t="s">
        <v>5</v>
      </c>
      <c r="D67" s="2" t="s">
        <v>5</v>
      </c>
    </row>
    <row r="68" spans="1:4" ht="16" x14ac:dyDescent="0.2">
      <c r="A68" s="1" t="s">
        <v>1100</v>
      </c>
      <c r="B68" s="2" t="s">
        <v>5</v>
      </c>
      <c r="C68" s="2" t="s">
        <v>5</v>
      </c>
      <c r="D68" s="2" t="s">
        <v>5</v>
      </c>
    </row>
    <row r="69" spans="1:4" ht="16" x14ac:dyDescent="0.2">
      <c r="A69" s="2" t="s">
        <v>1148</v>
      </c>
      <c r="B69" s="4">
        <v>816</v>
      </c>
      <c r="C69" s="4">
        <v>811</v>
      </c>
      <c r="D69" s="2" t="s">
        <v>5</v>
      </c>
    </row>
    <row r="70" spans="1:4" ht="16" x14ac:dyDescent="0.2">
      <c r="A70" s="2" t="s">
        <v>1203</v>
      </c>
      <c r="B70" s="2" t="s">
        <v>5</v>
      </c>
      <c r="C70" s="2" t="s">
        <v>5</v>
      </c>
      <c r="D70" s="2" t="s">
        <v>5</v>
      </c>
    </row>
    <row r="71" spans="1:4" ht="16" x14ac:dyDescent="0.2">
      <c r="A71" s="1" t="s">
        <v>1100</v>
      </c>
      <c r="B71" s="2" t="s">
        <v>5</v>
      </c>
      <c r="C71" s="2" t="s">
        <v>5</v>
      </c>
      <c r="D71" s="2" t="s">
        <v>5</v>
      </c>
    </row>
    <row r="72" spans="1:4" ht="16" x14ac:dyDescent="0.2">
      <c r="A72" s="2" t="s">
        <v>1148</v>
      </c>
      <c r="B72" s="2" t="s">
        <v>111</v>
      </c>
      <c r="C72" s="4">
        <v>32</v>
      </c>
      <c r="D72" s="4">
        <v>29</v>
      </c>
    </row>
    <row r="73" spans="1:4" ht="16" x14ac:dyDescent="0.2">
      <c r="A73" s="2" t="s">
        <v>1204</v>
      </c>
      <c r="B73" s="2" t="s">
        <v>5</v>
      </c>
      <c r="C73" s="2" t="s">
        <v>5</v>
      </c>
      <c r="D73" s="2" t="s">
        <v>5</v>
      </c>
    </row>
    <row r="74" spans="1:4" ht="16" x14ac:dyDescent="0.2">
      <c r="A74" s="1" t="s">
        <v>1100</v>
      </c>
      <c r="B74" s="2" t="s">
        <v>5</v>
      </c>
      <c r="C74" s="2" t="s">
        <v>5</v>
      </c>
      <c r="D74" s="2" t="s">
        <v>5</v>
      </c>
    </row>
    <row r="75" spans="1:4" ht="16" x14ac:dyDescent="0.2">
      <c r="A75" s="2" t="s">
        <v>1148</v>
      </c>
      <c r="B75" s="4">
        <v>720</v>
      </c>
      <c r="C75" s="4">
        <v>706</v>
      </c>
      <c r="D75" s="2" t="s">
        <v>5</v>
      </c>
    </row>
    <row r="76" spans="1:4" ht="16" x14ac:dyDescent="0.2">
      <c r="A76" s="2" t="s">
        <v>1205</v>
      </c>
      <c r="B76" s="2" t="s">
        <v>5</v>
      </c>
      <c r="C76" s="2" t="s">
        <v>5</v>
      </c>
      <c r="D76" s="2" t="s">
        <v>5</v>
      </c>
    </row>
    <row r="77" spans="1:4" ht="16" x14ac:dyDescent="0.2">
      <c r="A77" s="1" t="s">
        <v>1100</v>
      </c>
      <c r="B77" s="2" t="s">
        <v>5</v>
      </c>
      <c r="C77" s="2" t="s">
        <v>5</v>
      </c>
      <c r="D77" s="2" t="s">
        <v>5</v>
      </c>
    </row>
    <row r="78" spans="1:4" ht="16" x14ac:dyDescent="0.2">
      <c r="A78" s="2" t="s">
        <v>1148</v>
      </c>
      <c r="B78" s="4">
        <v>720</v>
      </c>
      <c r="C78" s="4">
        <v>706</v>
      </c>
      <c r="D78" s="2" t="s">
        <v>5</v>
      </c>
    </row>
    <row r="79" spans="1:4" ht="16" x14ac:dyDescent="0.2">
      <c r="A79" s="2" t="s">
        <v>1206</v>
      </c>
      <c r="B79" s="2" t="s">
        <v>5</v>
      </c>
      <c r="C79" s="2" t="s">
        <v>5</v>
      </c>
      <c r="D79" s="2" t="s">
        <v>5</v>
      </c>
    </row>
    <row r="80" spans="1:4" ht="16" x14ac:dyDescent="0.2">
      <c r="A80" s="1" t="s">
        <v>1100</v>
      </c>
      <c r="B80" s="2" t="s">
        <v>5</v>
      </c>
      <c r="C80" s="2" t="s">
        <v>5</v>
      </c>
      <c r="D80" s="2" t="s">
        <v>5</v>
      </c>
    </row>
    <row r="81" spans="1:4" ht="16" x14ac:dyDescent="0.2">
      <c r="A81" s="2" t="s">
        <v>1148</v>
      </c>
      <c r="B81" s="2" t="s">
        <v>5</v>
      </c>
      <c r="C81" s="2" t="s">
        <v>111</v>
      </c>
      <c r="D81" s="4">
        <v>9</v>
      </c>
    </row>
    <row r="82" spans="1:4" ht="16" x14ac:dyDescent="0.2">
      <c r="A82" s="2" t="s">
        <v>1207</v>
      </c>
      <c r="B82" s="2" t="s">
        <v>5</v>
      </c>
      <c r="C82" s="2" t="s">
        <v>5</v>
      </c>
      <c r="D82" s="2" t="s">
        <v>5</v>
      </c>
    </row>
    <row r="83" spans="1:4" ht="16" x14ac:dyDescent="0.2">
      <c r="A83" s="1" t="s">
        <v>1100</v>
      </c>
      <c r="B83" s="2" t="s">
        <v>5</v>
      </c>
      <c r="C83" s="2" t="s">
        <v>5</v>
      </c>
      <c r="D83" s="2" t="s">
        <v>5</v>
      </c>
    </row>
    <row r="84" spans="1:4" ht="16" x14ac:dyDescent="0.2">
      <c r="A84" s="2" t="s">
        <v>1148</v>
      </c>
      <c r="B84" s="4">
        <v>9</v>
      </c>
      <c r="C84" s="4">
        <v>8</v>
      </c>
      <c r="D84" s="2" t="s">
        <v>5</v>
      </c>
    </row>
    <row r="85" spans="1:4" ht="16" x14ac:dyDescent="0.2">
      <c r="A85" s="2" t="s">
        <v>1184</v>
      </c>
      <c r="B85" s="4">
        <v>1364</v>
      </c>
      <c r="C85" s="4">
        <v>832</v>
      </c>
      <c r="D85" s="2" t="s">
        <v>5</v>
      </c>
    </row>
    <row r="86" spans="1:4" ht="16" x14ac:dyDescent="0.2">
      <c r="A86" s="2" t="s">
        <v>1208</v>
      </c>
      <c r="B86" s="2" t="s">
        <v>5</v>
      </c>
      <c r="C86" s="2" t="s">
        <v>5</v>
      </c>
      <c r="D86" s="2" t="s">
        <v>5</v>
      </c>
    </row>
    <row r="87" spans="1:4" ht="16" x14ac:dyDescent="0.2">
      <c r="A87" s="1" t="s">
        <v>1100</v>
      </c>
      <c r="B87" s="2" t="s">
        <v>5</v>
      </c>
      <c r="C87" s="2" t="s">
        <v>5</v>
      </c>
      <c r="D87" s="2" t="s">
        <v>5</v>
      </c>
    </row>
    <row r="88" spans="1:4" ht="16" x14ac:dyDescent="0.2">
      <c r="A88" s="2" t="s">
        <v>1148</v>
      </c>
      <c r="B88" s="4">
        <v>6</v>
      </c>
      <c r="C88" s="4">
        <v>8</v>
      </c>
      <c r="D88" s="2" t="s">
        <v>5</v>
      </c>
    </row>
    <row r="89" spans="1:4" ht="16" x14ac:dyDescent="0.2">
      <c r="A89" s="2" t="s">
        <v>1209</v>
      </c>
      <c r="B89" s="2" t="s">
        <v>5</v>
      </c>
      <c r="C89" s="2" t="s">
        <v>5</v>
      </c>
      <c r="D89" s="2" t="s">
        <v>5</v>
      </c>
    </row>
    <row r="90" spans="1:4" ht="16" x14ac:dyDescent="0.2">
      <c r="A90" s="1" t="s">
        <v>1100</v>
      </c>
      <c r="B90" s="2" t="s">
        <v>5</v>
      </c>
      <c r="C90" s="2" t="s">
        <v>5</v>
      </c>
      <c r="D90" s="2" t="s">
        <v>5</v>
      </c>
    </row>
    <row r="91" spans="1:4" ht="16" x14ac:dyDescent="0.2">
      <c r="A91" s="2" t="s">
        <v>1148</v>
      </c>
      <c r="B91" s="4">
        <v>3</v>
      </c>
      <c r="C91" s="2" t="s">
        <v>5</v>
      </c>
      <c r="D91" s="2" t="s">
        <v>5</v>
      </c>
    </row>
    <row r="92" spans="1:4" ht="16" x14ac:dyDescent="0.2">
      <c r="A92" s="2" t="s">
        <v>1210</v>
      </c>
      <c r="B92" s="2" t="s">
        <v>5</v>
      </c>
      <c r="C92" s="2" t="s">
        <v>5</v>
      </c>
      <c r="D92" s="2" t="s">
        <v>5</v>
      </c>
    </row>
    <row r="93" spans="1:4" ht="16" x14ac:dyDescent="0.2">
      <c r="A93" s="1" t="s">
        <v>1100</v>
      </c>
      <c r="B93" s="2" t="s">
        <v>5</v>
      </c>
      <c r="C93" s="2" t="s">
        <v>5</v>
      </c>
      <c r="D93" s="2" t="s">
        <v>5</v>
      </c>
    </row>
    <row r="94" spans="1:4" ht="16" x14ac:dyDescent="0.2">
      <c r="A94" s="2" t="s">
        <v>1148</v>
      </c>
      <c r="B94" s="4">
        <v>69</v>
      </c>
      <c r="C94" s="4">
        <v>36</v>
      </c>
      <c r="D94" s="2" t="s">
        <v>5</v>
      </c>
    </row>
    <row r="95" spans="1:4" ht="16" x14ac:dyDescent="0.2">
      <c r="A95" s="2" t="s">
        <v>1211</v>
      </c>
      <c r="B95" s="2" t="s">
        <v>5</v>
      </c>
      <c r="C95" s="2" t="s">
        <v>5</v>
      </c>
      <c r="D95" s="2" t="s">
        <v>5</v>
      </c>
    </row>
    <row r="96" spans="1:4" ht="16" x14ac:dyDescent="0.2">
      <c r="A96" s="1" t="s">
        <v>1100</v>
      </c>
      <c r="B96" s="2" t="s">
        <v>5</v>
      </c>
      <c r="C96" s="2" t="s">
        <v>5</v>
      </c>
      <c r="D96" s="2" t="s">
        <v>5</v>
      </c>
    </row>
    <row r="97" spans="1:4" ht="16" x14ac:dyDescent="0.2">
      <c r="A97" s="2" t="s">
        <v>1148</v>
      </c>
      <c r="B97" s="4">
        <v>69</v>
      </c>
      <c r="C97" s="4">
        <v>36</v>
      </c>
      <c r="D97" s="2" t="s">
        <v>5</v>
      </c>
    </row>
    <row r="98" spans="1:4" ht="16" x14ac:dyDescent="0.2">
      <c r="A98" s="2" t="s">
        <v>1212</v>
      </c>
      <c r="B98" s="2" t="s">
        <v>5</v>
      </c>
      <c r="C98" s="2" t="s">
        <v>5</v>
      </c>
      <c r="D98" s="2" t="s">
        <v>5</v>
      </c>
    </row>
    <row r="99" spans="1:4" ht="16" x14ac:dyDescent="0.2">
      <c r="A99" s="1" t="s">
        <v>1100</v>
      </c>
      <c r="B99" s="2" t="s">
        <v>5</v>
      </c>
      <c r="C99" s="2" t="s">
        <v>5</v>
      </c>
      <c r="D99" s="2" t="s">
        <v>5</v>
      </c>
    </row>
    <row r="100" spans="1:4" ht="16" x14ac:dyDescent="0.2">
      <c r="A100" s="2" t="s">
        <v>1148</v>
      </c>
      <c r="B100" s="2" t="s">
        <v>5</v>
      </c>
      <c r="C100" s="4">
        <v>1</v>
      </c>
      <c r="D100" s="2" t="s">
        <v>5</v>
      </c>
    </row>
    <row r="101" spans="1:4" ht="16" x14ac:dyDescent="0.2">
      <c r="A101" s="2" t="s">
        <v>1213</v>
      </c>
      <c r="B101" s="2" t="s">
        <v>5</v>
      </c>
      <c r="C101" s="2" t="s">
        <v>5</v>
      </c>
      <c r="D101" s="2" t="s">
        <v>5</v>
      </c>
    </row>
    <row r="102" spans="1:4" ht="16" x14ac:dyDescent="0.2">
      <c r="A102" s="1" t="s">
        <v>1100</v>
      </c>
      <c r="B102" s="2" t="s">
        <v>5</v>
      </c>
      <c r="C102" s="2" t="s">
        <v>5</v>
      </c>
      <c r="D102" s="2" t="s">
        <v>5</v>
      </c>
    </row>
    <row r="103" spans="1:4" ht="16" x14ac:dyDescent="0.2">
      <c r="A103" s="2" t="s">
        <v>1148</v>
      </c>
      <c r="B103" s="2" t="s">
        <v>5</v>
      </c>
      <c r="C103" s="4">
        <v>1</v>
      </c>
      <c r="D103" s="2" t="s">
        <v>5</v>
      </c>
    </row>
    <row r="104" spans="1:4" ht="16" x14ac:dyDescent="0.2">
      <c r="A104" s="2" t="s">
        <v>1214</v>
      </c>
      <c r="B104" s="2" t="s">
        <v>5</v>
      </c>
      <c r="C104" s="2" t="s">
        <v>5</v>
      </c>
      <c r="D104" s="2" t="s">
        <v>5</v>
      </c>
    </row>
    <row r="105" spans="1:4" ht="16" x14ac:dyDescent="0.2">
      <c r="A105" s="1" t="s">
        <v>1100</v>
      </c>
      <c r="B105" s="2" t="s">
        <v>5</v>
      </c>
      <c r="C105" s="2" t="s">
        <v>5</v>
      </c>
      <c r="D105" s="2" t="s">
        <v>5</v>
      </c>
    </row>
    <row r="106" spans="1:4" ht="16" x14ac:dyDescent="0.2">
      <c r="A106" s="2" t="s">
        <v>1148</v>
      </c>
      <c r="B106" s="2" t="s">
        <v>5</v>
      </c>
      <c r="C106" s="4">
        <v>-87</v>
      </c>
      <c r="D106" s="2" t="s">
        <v>5</v>
      </c>
    </row>
    <row r="107" spans="1:4" ht="16" x14ac:dyDescent="0.2">
      <c r="A107" s="2" t="s">
        <v>1215</v>
      </c>
      <c r="B107" s="2" t="s">
        <v>5</v>
      </c>
      <c r="C107" s="2" t="s">
        <v>5</v>
      </c>
      <c r="D107" s="2" t="s">
        <v>5</v>
      </c>
    </row>
    <row r="108" spans="1:4" ht="16" x14ac:dyDescent="0.2">
      <c r="A108" s="1" t="s">
        <v>1100</v>
      </c>
      <c r="B108" s="2" t="s">
        <v>5</v>
      </c>
      <c r="C108" s="2" t="s">
        <v>5</v>
      </c>
      <c r="D108" s="2" t="s">
        <v>5</v>
      </c>
    </row>
    <row r="109" spans="1:4" ht="16" x14ac:dyDescent="0.2">
      <c r="A109" s="2" t="s">
        <v>1148</v>
      </c>
      <c r="B109" s="2" t="s">
        <v>5</v>
      </c>
      <c r="C109" s="4">
        <v>-87</v>
      </c>
      <c r="D109" s="2" t="s">
        <v>5</v>
      </c>
    </row>
    <row r="110" spans="1:4" ht="16" x14ac:dyDescent="0.2">
      <c r="A110" s="2" t="s">
        <v>1216</v>
      </c>
      <c r="B110" s="2" t="s">
        <v>5</v>
      </c>
      <c r="C110" s="2" t="s">
        <v>5</v>
      </c>
      <c r="D110" s="2" t="s">
        <v>5</v>
      </c>
    </row>
    <row r="111" spans="1:4" ht="16" x14ac:dyDescent="0.2">
      <c r="A111" s="1" t="s">
        <v>1100</v>
      </c>
      <c r="B111" s="2" t="s">
        <v>5</v>
      </c>
      <c r="C111" s="2" t="s">
        <v>5</v>
      </c>
      <c r="D111" s="2" t="s">
        <v>5</v>
      </c>
    </row>
    <row r="112" spans="1:4" ht="16" x14ac:dyDescent="0.2">
      <c r="A112" s="2" t="s">
        <v>1148</v>
      </c>
      <c r="B112" s="2" t="s">
        <v>5</v>
      </c>
      <c r="C112" s="4">
        <v>-1</v>
      </c>
      <c r="D112" s="2" t="s">
        <v>5</v>
      </c>
    </row>
    <row r="113" spans="1:4" ht="16" x14ac:dyDescent="0.2">
      <c r="A113" s="2" t="s">
        <v>1217</v>
      </c>
      <c r="B113" s="2" t="s">
        <v>5</v>
      </c>
      <c r="C113" s="2" t="s">
        <v>5</v>
      </c>
      <c r="D113" s="2" t="s">
        <v>5</v>
      </c>
    </row>
    <row r="114" spans="1:4" ht="16" x14ac:dyDescent="0.2">
      <c r="A114" s="1" t="s">
        <v>1100</v>
      </c>
      <c r="B114" s="2" t="s">
        <v>5</v>
      </c>
      <c r="C114" s="2" t="s">
        <v>5</v>
      </c>
      <c r="D114" s="2" t="s">
        <v>5</v>
      </c>
    </row>
    <row r="115" spans="1:4" ht="16" x14ac:dyDescent="0.2">
      <c r="A115" s="2" t="s">
        <v>1148</v>
      </c>
      <c r="B115" s="2" t="s">
        <v>5</v>
      </c>
      <c r="C115" s="4">
        <v>-1</v>
      </c>
      <c r="D115" s="2" t="s">
        <v>5</v>
      </c>
    </row>
    <row r="116" spans="1:4" ht="16" x14ac:dyDescent="0.2">
      <c r="A116" s="2" t="s">
        <v>1218</v>
      </c>
      <c r="B116" s="2" t="s">
        <v>5</v>
      </c>
      <c r="C116" s="2" t="s">
        <v>5</v>
      </c>
      <c r="D116" s="2" t="s">
        <v>5</v>
      </c>
    </row>
    <row r="117" spans="1:4" ht="16" x14ac:dyDescent="0.2">
      <c r="A117" s="1" t="s">
        <v>1100</v>
      </c>
      <c r="B117" s="2" t="s">
        <v>5</v>
      </c>
      <c r="C117" s="2" t="s">
        <v>5</v>
      </c>
      <c r="D117" s="2" t="s">
        <v>5</v>
      </c>
    </row>
    <row r="118" spans="1:4" ht="16" x14ac:dyDescent="0.2">
      <c r="A118" s="2" t="s">
        <v>1148</v>
      </c>
      <c r="B118" s="2" t="s">
        <v>5</v>
      </c>
      <c r="C118" s="4">
        <v>-8</v>
      </c>
      <c r="D118" s="2" t="s">
        <v>5</v>
      </c>
    </row>
    <row r="119" spans="1:4" ht="16" x14ac:dyDescent="0.2">
      <c r="A119" s="2" t="s">
        <v>1219</v>
      </c>
      <c r="B119" s="2" t="s">
        <v>5</v>
      </c>
      <c r="C119" s="2" t="s">
        <v>5</v>
      </c>
      <c r="D119" s="2" t="s">
        <v>5</v>
      </c>
    </row>
    <row r="120" spans="1:4" ht="16" x14ac:dyDescent="0.2">
      <c r="A120" s="1" t="s">
        <v>1100</v>
      </c>
      <c r="B120" s="2" t="s">
        <v>5</v>
      </c>
      <c r="C120" s="2" t="s">
        <v>5</v>
      </c>
      <c r="D120" s="2" t="s">
        <v>5</v>
      </c>
    </row>
    <row r="121" spans="1:4" ht="16" x14ac:dyDescent="0.2">
      <c r="A121" s="2" t="s">
        <v>1148</v>
      </c>
      <c r="B121" s="2" t="s">
        <v>5</v>
      </c>
      <c r="C121" s="4">
        <v>-7</v>
      </c>
      <c r="D121" s="2" t="s">
        <v>5</v>
      </c>
    </row>
    <row r="122" spans="1:4" ht="16" x14ac:dyDescent="0.2">
      <c r="A122" s="2" t="s">
        <v>1220</v>
      </c>
      <c r="B122" s="2" t="s">
        <v>5</v>
      </c>
      <c r="C122" s="2" t="s">
        <v>5</v>
      </c>
      <c r="D122" s="2" t="s">
        <v>5</v>
      </c>
    </row>
    <row r="123" spans="1:4" ht="16" x14ac:dyDescent="0.2">
      <c r="A123" s="1" t="s">
        <v>1100</v>
      </c>
      <c r="B123" s="2" t="s">
        <v>5</v>
      </c>
      <c r="C123" s="2" t="s">
        <v>5</v>
      </c>
      <c r="D123" s="2" t="s">
        <v>5</v>
      </c>
    </row>
    <row r="124" spans="1:4" ht="16" x14ac:dyDescent="0.2">
      <c r="A124" s="2" t="s">
        <v>1148</v>
      </c>
      <c r="B124" s="2" t="s">
        <v>5</v>
      </c>
      <c r="C124" s="4">
        <v>-1</v>
      </c>
      <c r="D124" s="2" t="s">
        <v>5</v>
      </c>
    </row>
    <row r="125" spans="1:4" ht="16" x14ac:dyDescent="0.2">
      <c r="A125" s="2" t="s">
        <v>1221</v>
      </c>
      <c r="B125" s="2" t="s">
        <v>5</v>
      </c>
      <c r="C125" s="2" t="s">
        <v>5</v>
      </c>
      <c r="D125" s="2" t="s">
        <v>5</v>
      </c>
    </row>
    <row r="126" spans="1:4" ht="16" x14ac:dyDescent="0.2">
      <c r="A126" s="1" t="s">
        <v>1100</v>
      </c>
      <c r="B126" s="2" t="s">
        <v>5</v>
      </c>
      <c r="C126" s="2" t="s">
        <v>5</v>
      </c>
      <c r="D126" s="2" t="s">
        <v>5</v>
      </c>
    </row>
    <row r="127" spans="1:4" ht="16" x14ac:dyDescent="0.2">
      <c r="A127" s="2" t="s">
        <v>1148</v>
      </c>
      <c r="B127" s="4">
        <v>3391</v>
      </c>
      <c r="C127" s="4">
        <v>2931</v>
      </c>
      <c r="D127" s="2" t="s">
        <v>5</v>
      </c>
    </row>
    <row r="128" spans="1:4" ht="16" x14ac:dyDescent="0.2">
      <c r="A128" s="2" t="s">
        <v>1222</v>
      </c>
      <c r="B128" s="2" t="s">
        <v>5</v>
      </c>
      <c r="C128" s="2" t="s">
        <v>5</v>
      </c>
      <c r="D128" s="2" t="s">
        <v>5</v>
      </c>
    </row>
    <row r="129" spans="1:4" ht="16" x14ac:dyDescent="0.2">
      <c r="A129" s="1" t="s">
        <v>1100</v>
      </c>
      <c r="B129" s="2" t="s">
        <v>5</v>
      </c>
      <c r="C129" s="2" t="s">
        <v>5</v>
      </c>
      <c r="D129" s="2" t="s">
        <v>5</v>
      </c>
    </row>
    <row r="130" spans="1:4" ht="16" x14ac:dyDescent="0.2">
      <c r="A130" s="2" t="s">
        <v>1148</v>
      </c>
      <c r="B130" s="4">
        <v>3391</v>
      </c>
      <c r="C130" s="4">
        <v>2931</v>
      </c>
      <c r="D130" s="2" t="s">
        <v>5</v>
      </c>
    </row>
    <row r="131" spans="1:4" ht="16" x14ac:dyDescent="0.2">
      <c r="A131" s="2" t="s">
        <v>1223</v>
      </c>
      <c r="B131" s="2" t="s">
        <v>5</v>
      </c>
      <c r="C131" s="2" t="s">
        <v>5</v>
      </c>
      <c r="D131" s="2" t="s">
        <v>5</v>
      </c>
    </row>
    <row r="132" spans="1:4" ht="16" x14ac:dyDescent="0.2">
      <c r="A132" s="1" t="s">
        <v>1100</v>
      </c>
      <c r="B132" s="2" t="s">
        <v>5</v>
      </c>
      <c r="C132" s="2" t="s">
        <v>5</v>
      </c>
      <c r="D132" s="2" t="s">
        <v>5</v>
      </c>
    </row>
    <row r="133" spans="1:4" ht="16" x14ac:dyDescent="0.2">
      <c r="A133" s="2" t="s">
        <v>1148</v>
      </c>
      <c r="B133" s="4">
        <v>2204</v>
      </c>
      <c r="C133" s="4">
        <v>2023</v>
      </c>
      <c r="D133" s="2" t="s">
        <v>5</v>
      </c>
    </row>
    <row r="134" spans="1:4" ht="16" x14ac:dyDescent="0.2">
      <c r="A134" s="2" t="s">
        <v>1224</v>
      </c>
      <c r="B134" s="2" t="s">
        <v>5</v>
      </c>
      <c r="C134" s="2" t="s">
        <v>5</v>
      </c>
      <c r="D134" s="2" t="s">
        <v>5</v>
      </c>
    </row>
    <row r="135" spans="1:4" ht="16" x14ac:dyDescent="0.2">
      <c r="A135" s="1" t="s">
        <v>1100</v>
      </c>
      <c r="B135" s="2" t="s">
        <v>5</v>
      </c>
      <c r="C135" s="2" t="s">
        <v>5</v>
      </c>
      <c r="D135" s="2" t="s">
        <v>5</v>
      </c>
    </row>
    <row r="136" spans="1:4" ht="16" x14ac:dyDescent="0.2">
      <c r="A136" s="2" t="s">
        <v>1148</v>
      </c>
      <c r="B136" s="4">
        <v>2204</v>
      </c>
      <c r="C136" s="4">
        <v>2023</v>
      </c>
      <c r="D136" s="2" t="s">
        <v>5</v>
      </c>
    </row>
    <row r="137" spans="1:4" ht="16" x14ac:dyDescent="0.2">
      <c r="A137" s="2" t="s">
        <v>1225</v>
      </c>
      <c r="B137" s="2" t="s">
        <v>5</v>
      </c>
      <c r="C137" s="2" t="s">
        <v>5</v>
      </c>
      <c r="D137" s="2" t="s">
        <v>5</v>
      </c>
    </row>
    <row r="138" spans="1:4" ht="16" x14ac:dyDescent="0.2">
      <c r="A138" s="1" t="s">
        <v>1100</v>
      </c>
      <c r="B138" s="2" t="s">
        <v>5</v>
      </c>
      <c r="C138" s="2" t="s">
        <v>5</v>
      </c>
      <c r="D138" s="2" t="s">
        <v>5</v>
      </c>
    </row>
    <row r="139" spans="1:4" ht="16" x14ac:dyDescent="0.2">
      <c r="A139" s="2" t="s">
        <v>1148</v>
      </c>
      <c r="B139" s="2" t="s">
        <v>5</v>
      </c>
      <c r="C139" s="2" t="s">
        <v>111</v>
      </c>
      <c r="D139" s="5">
        <v>5</v>
      </c>
    </row>
    <row r="140" spans="1:4" ht="16" x14ac:dyDescent="0.2">
      <c r="A140" s="2" t="s">
        <v>1226</v>
      </c>
      <c r="B140" s="2" t="s">
        <v>5</v>
      </c>
      <c r="C140" s="2" t="s">
        <v>5</v>
      </c>
      <c r="D140" s="2" t="s">
        <v>5</v>
      </c>
    </row>
    <row r="141" spans="1:4" ht="16" x14ac:dyDescent="0.2">
      <c r="A141" s="1" t="s">
        <v>1100</v>
      </c>
      <c r="B141" s="2" t="s">
        <v>5</v>
      </c>
      <c r="C141" s="2" t="s">
        <v>5</v>
      </c>
      <c r="D141" s="2" t="s">
        <v>5</v>
      </c>
    </row>
    <row r="142" spans="1:4" ht="16" x14ac:dyDescent="0.2">
      <c r="A142" s="2" t="s">
        <v>1148</v>
      </c>
      <c r="B142" s="2" t="s">
        <v>111</v>
      </c>
      <c r="C142" s="4">
        <v>1782</v>
      </c>
      <c r="D142" s="2" t="s">
        <v>5</v>
      </c>
    </row>
    <row r="143" spans="1:4" ht="16" x14ac:dyDescent="0.2">
      <c r="A143" s="2" t="s">
        <v>1227</v>
      </c>
      <c r="B143" s="2" t="s">
        <v>5</v>
      </c>
      <c r="C143" s="2" t="s">
        <v>5</v>
      </c>
      <c r="D143" s="2" t="s">
        <v>5</v>
      </c>
    </row>
    <row r="144" spans="1:4" ht="16" x14ac:dyDescent="0.2">
      <c r="A144" s="1" t="s">
        <v>1100</v>
      </c>
      <c r="B144" s="2" t="s">
        <v>5</v>
      </c>
      <c r="C144" s="2" t="s">
        <v>5</v>
      </c>
      <c r="D144" s="2" t="s">
        <v>5</v>
      </c>
    </row>
    <row r="145" spans="1:4" ht="16" x14ac:dyDescent="0.2">
      <c r="A145" s="2" t="s">
        <v>1148</v>
      </c>
      <c r="B145" s="2" t="s">
        <v>111</v>
      </c>
      <c r="C145" s="4">
        <v>1782</v>
      </c>
      <c r="D145" s="2" t="s">
        <v>5</v>
      </c>
    </row>
    <row r="146" spans="1:4" ht="16" x14ac:dyDescent="0.2">
      <c r="A146" s="2" t="s">
        <v>1228</v>
      </c>
      <c r="B146" s="2" t="s">
        <v>5</v>
      </c>
      <c r="C146" s="2" t="s">
        <v>5</v>
      </c>
      <c r="D146" s="2" t="s">
        <v>5</v>
      </c>
    </row>
    <row r="147" spans="1:4" ht="16" x14ac:dyDescent="0.2">
      <c r="A147" s="1" t="s">
        <v>1100</v>
      </c>
      <c r="B147" s="2" t="s">
        <v>5</v>
      </c>
      <c r="C147" s="2" t="s">
        <v>5</v>
      </c>
      <c r="D147" s="2" t="s">
        <v>5</v>
      </c>
    </row>
    <row r="148" spans="1:4" ht="16" x14ac:dyDescent="0.2">
      <c r="A148" s="2" t="s">
        <v>1148</v>
      </c>
      <c r="B148" s="4">
        <v>385</v>
      </c>
      <c r="C148" s="4">
        <v>362</v>
      </c>
      <c r="D148" s="2" t="s">
        <v>5</v>
      </c>
    </row>
    <row r="149" spans="1:4" ht="16" x14ac:dyDescent="0.2">
      <c r="A149" s="2" t="s">
        <v>1229</v>
      </c>
      <c r="B149" s="2" t="s">
        <v>5</v>
      </c>
      <c r="C149" s="2" t="s">
        <v>5</v>
      </c>
      <c r="D149" s="2" t="s">
        <v>5</v>
      </c>
    </row>
    <row r="150" spans="1:4" ht="16" x14ac:dyDescent="0.2">
      <c r="A150" s="1" t="s">
        <v>1100</v>
      </c>
      <c r="B150" s="2" t="s">
        <v>5</v>
      </c>
      <c r="C150" s="2" t="s">
        <v>5</v>
      </c>
      <c r="D150" s="2" t="s">
        <v>5</v>
      </c>
    </row>
    <row r="151" spans="1:4" ht="16" x14ac:dyDescent="0.2">
      <c r="A151" s="2" t="s">
        <v>1148</v>
      </c>
      <c r="B151" s="4">
        <v>349</v>
      </c>
      <c r="C151" s="4">
        <v>310</v>
      </c>
      <c r="D151" s="2" t="s">
        <v>5</v>
      </c>
    </row>
    <row r="152" spans="1:4" ht="16" x14ac:dyDescent="0.2">
      <c r="A152" s="2" t="s">
        <v>1230</v>
      </c>
      <c r="B152" s="2" t="s">
        <v>5</v>
      </c>
      <c r="C152" s="2" t="s">
        <v>5</v>
      </c>
      <c r="D152" s="2" t="s">
        <v>5</v>
      </c>
    </row>
    <row r="153" spans="1:4" ht="16" x14ac:dyDescent="0.2">
      <c r="A153" s="1" t="s">
        <v>1100</v>
      </c>
      <c r="B153" s="2" t="s">
        <v>5</v>
      </c>
      <c r="C153" s="2" t="s">
        <v>5</v>
      </c>
      <c r="D153" s="2" t="s">
        <v>5</v>
      </c>
    </row>
    <row r="154" spans="1:4" ht="16" x14ac:dyDescent="0.2">
      <c r="A154" s="2" t="s">
        <v>1148</v>
      </c>
      <c r="B154" s="4">
        <v>33</v>
      </c>
      <c r="C154" s="4">
        <v>47</v>
      </c>
      <c r="D154" s="2" t="s">
        <v>5</v>
      </c>
    </row>
    <row r="155" spans="1:4" ht="16" x14ac:dyDescent="0.2">
      <c r="A155" s="2" t="s">
        <v>1231</v>
      </c>
      <c r="B155" s="2" t="s">
        <v>5</v>
      </c>
      <c r="C155" s="2" t="s">
        <v>5</v>
      </c>
      <c r="D155" s="2" t="s">
        <v>5</v>
      </c>
    </row>
    <row r="156" spans="1:4" ht="16" x14ac:dyDescent="0.2">
      <c r="A156" s="1" t="s">
        <v>1100</v>
      </c>
      <c r="B156" s="2" t="s">
        <v>5</v>
      </c>
      <c r="C156" s="2" t="s">
        <v>5</v>
      </c>
      <c r="D156" s="2" t="s">
        <v>5</v>
      </c>
    </row>
    <row r="157" spans="1:4" ht="16" x14ac:dyDescent="0.2">
      <c r="A157" s="2" t="s">
        <v>1148</v>
      </c>
      <c r="B157" s="4">
        <v>3</v>
      </c>
      <c r="C157" s="2" t="s">
        <v>5</v>
      </c>
      <c r="D157" s="2" t="s">
        <v>5</v>
      </c>
    </row>
    <row r="158" spans="1:4" ht="16" x14ac:dyDescent="0.2">
      <c r="A158" s="2" t="s">
        <v>1232</v>
      </c>
      <c r="B158" s="2" t="s">
        <v>5</v>
      </c>
      <c r="C158" s="4">
        <v>5</v>
      </c>
      <c r="D158" s="2" t="s">
        <v>5</v>
      </c>
    </row>
    <row r="159" spans="1:4" ht="16" x14ac:dyDescent="0.2">
      <c r="A159" s="2" t="s">
        <v>1233</v>
      </c>
      <c r="B159" s="2" t="s">
        <v>5</v>
      </c>
      <c r="C159" s="2" t="s">
        <v>5</v>
      </c>
      <c r="D159" s="2" t="s">
        <v>5</v>
      </c>
    </row>
    <row r="160" spans="1:4" ht="16" x14ac:dyDescent="0.2">
      <c r="A160" s="1" t="s">
        <v>1100</v>
      </c>
      <c r="B160" s="2" t="s">
        <v>5</v>
      </c>
      <c r="C160" s="2" t="s">
        <v>5</v>
      </c>
      <c r="D160" s="2" t="s">
        <v>5</v>
      </c>
    </row>
    <row r="161" spans="1:4" ht="16" x14ac:dyDescent="0.2">
      <c r="A161" s="2" t="s">
        <v>1184</v>
      </c>
      <c r="B161" s="4">
        <v>1378</v>
      </c>
      <c r="C161" s="4">
        <v>1511</v>
      </c>
      <c r="D161" s="2" t="s">
        <v>5</v>
      </c>
    </row>
    <row r="162" spans="1:4" ht="16" x14ac:dyDescent="0.2">
      <c r="A162" s="2" t="s">
        <v>1234</v>
      </c>
      <c r="B162" s="2" t="s">
        <v>5</v>
      </c>
      <c r="C162" s="2" t="s">
        <v>5</v>
      </c>
      <c r="D162" s="2" t="s">
        <v>5</v>
      </c>
    </row>
    <row r="163" spans="1:4" ht="16" x14ac:dyDescent="0.2">
      <c r="A163" s="1" t="s">
        <v>1100</v>
      </c>
      <c r="B163" s="2" t="s">
        <v>5</v>
      </c>
      <c r="C163" s="2" t="s">
        <v>5</v>
      </c>
      <c r="D163" s="2" t="s">
        <v>5</v>
      </c>
    </row>
    <row r="164" spans="1:4" ht="16" x14ac:dyDescent="0.2">
      <c r="A164" s="2" t="s">
        <v>1184</v>
      </c>
      <c r="B164" s="5">
        <v>2702</v>
      </c>
      <c r="C164" s="5">
        <v>2757</v>
      </c>
      <c r="D164" s="2" t="s">
        <v>5</v>
      </c>
    </row>
  </sheetData>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95"/>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1235</v>
      </c>
      <c r="B1" s="61" t="s">
        <v>1</v>
      </c>
      <c r="C1" s="60"/>
    </row>
    <row r="2" spans="1:3" ht="16" x14ac:dyDescent="0.2">
      <c r="A2" s="60"/>
      <c r="B2" s="12" t="s">
        <v>2</v>
      </c>
      <c r="C2" s="12" t="s">
        <v>75</v>
      </c>
    </row>
    <row r="3" spans="1:3" ht="16" x14ac:dyDescent="0.2">
      <c r="A3" s="1" t="s">
        <v>1236</v>
      </c>
      <c r="B3" s="2" t="s">
        <v>5</v>
      </c>
      <c r="C3" s="2" t="s">
        <v>5</v>
      </c>
    </row>
    <row r="4" spans="1:3" ht="16" x14ac:dyDescent="0.2">
      <c r="A4" s="2" t="s">
        <v>1130</v>
      </c>
      <c r="B4" s="5">
        <v>49825</v>
      </c>
      <c r="C4" s="5">
        <v>67813</v>
      </c>
    </row>
    <row r="5" spans="1:3" ht="16" x14ac:dyDescent="0.2">
      <c r="A5" s="2" t="s">
        <v>1237</v>
      </c>
      <c r="B5" s="4">
        <v>3756</v>
      </c>
      <c r="C5" s="4">
        <v>-13141</v>
      </c>
    </row>
    <row r="6" spans="1:3" ht="16" x14ac:dyDescent="0.2">
      <c r="A6" s="2" t="s">
        <v>1134</v>
      </c>
      <c r="B6" s="4">
        <v>48891</v>
      </c>
      <c r="C6" s="4">
        <v>49825</v>
      </c>
    </row>
    <row r="7" spans="1:3" ht="16" x14ac:dyDescent="0.2">
      <c r="A7" s="2" t="s">
        <v>1187</v>
      </c>
      <c r="B7" s="2" t="s">
        <v>5</v>
      </c>
      <c r="C7" s="2" t="s">
        <v>5</v>
      </c>
    </row>
    <row r="8" spans="1:3" ht="16" x14ac:dyDescent="0.2">
      <c r="A8" s="1" t="s">
        <v>1236</v>
      </c>
      <c r="B8" s="2" t="s">
        <v>5</v>
      </c>
      <c r="C8" s="2" t="s">
        <v>5</v>
      </c>
    </row>
    <row r="9" spans="1:3" ht="16" x14ac:dyDescent="0.2">
      <c r="A9" s="2" t="s">
        <v>1130</v>
      </c>
      <c r="B9" s="4">
        <v>268</v>
      </c>
      <c r="C9" s="4">
        <v>198</v>
      </c>
    </row>
    <row r="10" spans="1:3" ht="16" x14ac:dyDescent="0.2">
      <c r="A10" s="2" t="s">
        <v>1237</v>
      </c>
      <c r="B10" s="4">
        <v>14</v>
      </c>
      <c r="C10" s="4">
        <v>-90</v>
      </c>
    </row>
    <row r="11" spans="1:3" ht="16" x14ac:dyDescent="0.2">
      <c r="A11" s="2" t="s">
        <v>1238</v>
      </c>
      <c r="B11" s="4">
        <v>-12</v>
      </c>
      <c r="C11" s="4">
        <v>31</v>
      </c>
    </row>
    <row r="12" spans="1:3" ht="16" x14ac:dyDescent="0.2">
      <c r="A12" s="2" t="s">
        <v>1239</v>
      </c>
      <c r="B12" s="4">
        <v>-44</v>
      </c>
      <c r="C12" s="4">
        <v>129</v>
      </c>
    </row>
    <row r="13" spans="1:3" ht="16" x14ac:dyDescent="0.2">
      <c r="A13" s="2" t="s">
        <v>1134</v>
      </c>
      <c r="B13" s="4">
        <v>226</v>
      </c>
      <c r="C13" s="4">
        <v>268</v>
      </c>
    </row>
    <row r="14" spans="1:3" ht="16" x14ac:dyDescent="0.2">
      <c r="A14" s="2" t="s">
        <v>1240</v>
      </c>
      <c r="B14" s="2" t="s">
        <v>5</v>
      </c>
      <c r="C14" s="2" t="s">
        <v>5</v>
      </c>
    </row>
    <row r="15" spans="1:3" ht="16" x14ac:dyDescent="0.2">
      <c r="A15" s="1" t="s">
        <v>1236</v>
      </c>
      <c r="B15" s="2" t="s">
        <v>5</v>
      </c>
      <c r="C15" s="2" t="s">
        <v>5</v>
      </c>
    </row>
    <row r="16" spans="1:3" ht="16" x14ac:dyDescent="0.2">
      <c r="A16" s="2" t="s">
        <v>1130</v>
      </c>
      <c r="B16" s="2" t="s">
        <v>111</v>
      </c>
      <c r="C16" s="2" t="s">
        <v>5</v>
      </c>
    </row>
    <row r="17" spans="1:3" ht="16" x14ac:dyDescent="0.2">
      <c r="A17" s="2" t="s">
        <v>1134</v>
      </c>
      <c r="B17" s="2" t="s">
        <v>111</v>
      </c>
      <c r="C17" s="2" t="s">
        <v>111</v>
      </c>
    </row>
    <row r="18" spans="1:3" ht="16" x14ac:dyDescent="0.2">
      <c r="A18" s="2" t="s">
        <v>1241</v>
      </c>
      <c r="B18" s="2" t="s">
        <v>5</v>
      </c>
      <c r="C18" s="2" t="s">
        <v>5</v>
      </c>
    </row>
    <row r="19" spans="1:3" ht="16" x14ac:dyDescent="0.2">
      <c r="A19" s="1" t="s">
        <v>1236</v>
      </c>
      <c r="B19" s="2" t="s">
        <v>5</v>
      </c>
      <c r="C19" s="2" t="s">
        <v>5</v>
      </c>
    </row>
    <row r="20" spans="1:3" ht="16" x14ac:dyDescent="0.2">
      <c r="A20" s="2" t="s">
        <v>1130</v>
      </c>
      <c r="B20" s="4">
        <v>15095</v>
      </c>
      <c r="C20" s="2" t="s">
        <v>5</v>
      </c>
    </row>
    <row r="21" spans="1:3" ht="16" x14ac:dyDescent="0.2">
      <c r="A21" s="2" t="s">
        <v>1134</v>
      </c>
      <c r="B21" s="4">
        <v>17809</v>
      </c>
      <c r="C21" s="4">
        <v>15095</v>
      </c>
    </row>
    <row r="22" spans="1:3" ht="16" x14ac:dyDescent="0.2">
      <c r="A22" s="2" t="s">
        <v>1242</v>
      </c>
      <c r="B22" s="2" t="s">
        <v>5</v>
      </c>
      <c r="C22" s="2" t="s">
        <v>5</v>
      </c>
    </row>
    <row r="23" spans="1:3" ht="16" x14ac:dyDescent="0.2">
      <c r="A23" s="1" t="s">
        <v>1236</v>
      </c>
      <c r="B23" s="2" t="s">
        <v>5</v>
      </c>
      <c r="C23" s="2" t="s">
        <v>5</v>
      </c>
    </row>
    <row r="24" spans="1:3" ht="16" x14ac:dyDescent="0.2">
      <c r="A24" s="2" t="s">
        <v>1130</v>
      </c>
      <c r="B24" s="4">
        <v>70</v>
      </c>
      <c r="C24" s="4">
        <v>53</v>
      </c>
    </row>
    <row r="25" spans="1:3" ht="16" x14ac:dyDescent="0.2">
      <c r="A25" s="2" t="s">
        <v>1237</v>
      </c>
      <c r="B25" s="4">
        <v>5</v>
      </c>
      <c r="C25" s="4">
        <v>-19</v>
      </c>
    </row>
    <row r="26" spans="1:3" ht="16" x14ac:dyDescent="0.2">
      <c r="A26" s="2" t="s">
        <v>1238</v>
      </c>
      <c r="B26" s="4">
        <v>-16</v>
      </c>
      <c r="C26" s="4">
        <v>3</v>
      </c>
    </row>
    <row r="27" spans="1:3" ht="16" x14ac:dyDescent="0.2">
      <c r="A27" s="2" t="s">
        <v>1239</v>
      </c>
      <c r="B27" s="2" t="s">
        <v>111</v>
      </c>
      <c r="C27" s="4">
        <v>33</v>
      </c>
    </row>
    <row r="28" spans="1:3" ht="16" x14ac:dyDescent="0.2">
      <c r="A28" s="2" t="s">
        <v>1134</v>
      </c>
      <c r="B28" s="4">
        <v>59</v>
      </c>
      <c r="C28" s="4">
        <v>70</v>
      </c>
    </row>
    <row r="29" spans="1:3" ht="16" x14ac:dyDescent="0.2">
      <c r="A29" s="2" t="s">
        <v>1243</v>
      </c>
      <c r="B29" s="2" t="s">
        <v>5</v>
      </c>
      <c r="C29" s="2" t="s">
        <v>5</v>
      </c>
    </row>
    <row r="30" spans="1:3" ht="16" x14ac:dyDescent="0.2">
      <c r="A30" s="1" t="s">
        <v>1236</v>
      </c>
      <c r="B30" s="2" t="s">
        <v>5</v>
      </c>
      <c r="C30" s="2" t="s">
        <v>5</v>
      </c>
    </row>
    <row r="31" spans="1:3" ht="16" x14ac:dyDescent="0.2">
      <c r="A31" s="2" t="s">
        <v>1130</v>
      </c>
      <c r="B31" s="4">
        <v>7827</v>
      </c>
      <c r="C31" s="2" t="s">
        <v>5</v>
      </c>
    </row>
    <row r="32" spans="1:3" ht="16" x14ac:dyDescent="0.2">
      <c r="A32" s="2" t="s">
        <v>1134</v>
      </c>
      <c r="B32" s="4">
        <v>6822</v>
      </c>
      <c r="C32" s="4">
        <v>7827</v>
      </c>
    </row>
    <row r="33" spans="1:3" ht="16" x14ac:dyDescent="0.2">
      <c r="A33" s="2" t="s">
        <v>1244</v>
      </c>
      <c r="B33" s="2" t="s">
        <v>5</v>
      </c>
      <c r="C33" s="2" t="s">
        <v>5</v>
      </c>
    </row>
    <row r="34" spans="1:3" ht="16" x14ac:dyDescent="0.2">
      <c r="A34" s="1" t="s">
        <v>1236</v>
      </c>
      <c r="B34" s="2" t="s">
        <v>5</v>
      </c>
      <c r="C34" s="2" t="s">
        <v>5</v>
      </c>
    </row>
    <row r="35" spans="1:3" ht="16" x14ac:dyDescent="0.2">
      <c r="A35" s="2" t="s">
        <v>1237</v>
      </c>
      <c r="B35" s="2" t="s">
        <v>111</v>
      </c>
      <c r="C35" s="2" t="s">
        <v>5</v>
      </c>
    </row>
    <row r="36" spans="1:3" ht="16" x14ac:dyDescent="0.2">
      <c r="A36" s="2" t="s">
        <v>1238</v>
      </c>
      <c r="B36" s="4">
        <v>-1</v>
      </c>
      <c r="C36" s="2" t="s">
        <v>5</v>
      </c>
    </row>
    <row r="37" spans="1:3" ht="16" x14ac:dyDescent="0.2">
      <c r="A37" s="2" t="s">
        <v>1239</v>
      </c>
      <c r="B37" s="4">
        <v>1</v>
      </c>
      <c r="C37" s="2" t="s">
        <v>5</v>
      </c>
    </row>
    <row r="38" spans="1:3" ht="16" x14ac:dyDescent="0.2">
      <c r="A38" s="2" t="s">
        <v>1245</v>
      </c>
      <c r="B38" s="2" t="s">
        <v>5</v>
      </c>
      <c r="C38" s="2" t="s">
        <v>5</v>
      </c>
    </row>
    <row r="39" spans="1:3" ht="16" x14ac:dyDescent="0.2">
      <c r="A39" s="1" t="s">
        <v>1236</v>
      </c>
      <c r="B39" s="2" t="s">
        <v>5</v>
      </c>
      <c r="C39" s="2" t="s">
        <v>5</v>
      </c>
    </row>
    <row r="40" spans="1:3" ht="16" x14ac:dyDescent="0.2">
      <c r="A40" s="2" t="s">
        <v>1130</v>
      </c>
      <c r="B40" s="4">
        <v>664</v>
      </c>
      <c r="C40" s="2" t="s">
        <v>5</v>
      </c>
    </row>
    <row r="41" spans="1:3" ht="16" x14ac:dyDescent="0.2">
      <c r="A41" s="2" t="s">
        <v>1134</v>
      </c>
      <c r="B41" s="4">
        <v>505</v>
      </c>
      <c r="C41" s="4">
        <v>664</v>
      </c>
    </row>
    <row r="42" spans="1:3" ht="16" x14ac:dyDescent="0.2">
      <c r="A42" s="2" t="s">
        <v>1246</v>
      </c>
      <c r="B42" s="2" t="s">
        <v>5</v>
      </c>
      <c r="C42" s="2" t="s">
        <v>5</v>
      </c>
    </row>
    <row r="43" spans="1:3" ht="16" x14ac:dyDescent="0.2">
      <c r="A43" s="1" t="s">
        <v>1236</v>
      </c>
      <c r="B43" s="2" t="s">
        <v>5</v>
      </c>
      <c r="C43" s="2" t="s">
        <v>5</v>
      </c>
    </row>
    <row r="44" spans="1:3" ht="16" x14ac:dyDescent="0.2">
      <c r="A44" s="2" t="s">
        <v>1130</v>
      </c>
      <c r="B44" s="4">
        <v>162</v>
      </c>
      <c r="C44" s="4">
        <v>102</v>
      </c>
    </row>
    <row r="45" spans="1:3" ht="16" x14ac:dyDescent="0.2">
      <c r="A45" s="2" t="s">
        <v>1237</v>
      </c>
      <c r="B45" s="4">
        <v>7</v>
      </c>
      <c r="C45" s="4">
        <v>-11</v>
      </c>
    </row>
    <row r="46" spans="1:3" ht="16" x14ac:dyDescent="0.2">
      <c r="A46" s="2" t="s">
        <v>1238</v>
      </c>
      <c r="B46" s="4">
        <v>10</v>
      </c>
      <c r="C46" s="4">
        <v>16</v>
      </c>
    </row>
    <row r="47" spans="1:3" ht="16" x14ac:dyDescent="0.2">
      <c r="A47" s="2" t="s">
        <v>1239</v>
      </c>
      <c r="B47" s="4">
        <v>-18</v>
      </c>
      <c r="C47" s="4">
        <v>55</v>
      </c>
    </row>
    <row r="48" spans="1:3" ht="16" x14ac:dyDescent="0.2">
      <c r="A48" s="2" t="s">
        <v>1134</v>
      </c>
      <c r="B48" s="4">
        <v>161</v>
      </c>
      <c r="C48" s="4">
        <v>162</v>
      </c>
    </row>
    <row r="49" spans="1:3" ht="16" x14ac:dyDescent="0.2">
      <c r="A49" s="2" t="s">
        <v>1247</v>
      </c>
      <c r="B49" s="2" t="s">
        <v>5</v>
      </c>
      <c r="C49" s="2" t="s">
        <v>5</v>
      </c>
    </row>
    <row r="50" spans="1:3" ht="16" x14ac:dyDescent="0.2">
      <c r="A50" s="1" t="s">
        <v>1236</v>
      </c>
      <c r="B50" s="2" t="s">
        <v>5</v>
      </c>
      <c r="C50" s="2" t="s">
        <v>5</v>
      </c>
    </row>
    <row r="51" spans="1:3" ht="16" x14ac:dyDescent="0.2">
      <c r="A51" s="2" t="s">
        <v>1130</v>
      </c>
      <c r="B51" s="4">
        <v>843</v>
      </c>
      <c r="C51" s="2" t="s">
        <v>5</v>
      </c>
    </row>
    <row r="52" spans="1:3" ht="16" x14ac:dyDescent="0.2">
      <c r="A52" s="2" t="s">
        <v>1134</v>
      </c>
      <c r="B52" s="4">
        <v>816</v>
      </c>
      <c r="C52" s="4">
        <v>843</v>
      </c>
    </row>
    <row r="53" spans="1:3" ht="16" x14ac:dyDescent="0.2">
      <c r="A53" s="2" t="s">
        <v>1248</v>
      </c>
      <c r="B53" s="2" t="s">
        <v>5</v>
      </c>
      <c r="C53" s="2" t="s">
        <v>5</v>
      </c>
    </row>
    <row r="54" spans="1:3" ht="16" x14ac:dyDescent="0.2">
      <c r="A54" s="1" t="s">
        <v>1236</v>
      </c>
      <c r="B54" s="2" t="s">
        <v>5</v>
      </c>
      <c r="C54" s="2" t="s">
        <v>5</v>
      </c>
    </row>
    <row r="55" spans="1:3" ht="16" x14ac:dyDescent="0.2">
      <c r="A55" s="2" t="s">
        <v>1130</v>
      </c>
      <c r="B55" s="4">
        <v>32</v>
      </c>
      <c r="C55" s="4">
        <v>29</v>
      </c>
    </row>
    <row r="56" spans="1:3" ht="16" x14ac:dyDescent="0.2">
      <c r="A56" s="2" t="s">
        <v>1237</v>
      </c>
      <c r="B56" s="2" t="s">
        <v>111</v>
      </c>
      <c r="C56" s="4">
        <v>-14</v>
      </c>
    </row>
    <row r="57" spans="1:3" ht="16" x14ac:dyDescent="0.2">
      <c r="A57" s="2" t="s">
        <v>1238</v>
      </c>
      <c r="B57" s="4">
        <v>-5</v>
      </c>
      <c r="C57" s="4">
        <v>9</v>
      </c>
    </row>
    <row r="58" spans="1:3" ht="16" x14ac:dyDescent="0.2">
      <c r="A58" s="2" t="s">
        <v>1239</v>
      </c>
      <c r="B58" s="4">
        <v>-27</v>
      </c>
      <c r="C58" s="4">
        <v>8</v>
      </c>
    </row>
    <row r="59" spans="1:3" ht="16" x14ac:dyDescent="0.2">
      <c r="A59" s="2" t="s">
        <v>1134</v>
      </c>
      <c r="B59" s="2" t="s">
        <v>111</v>
      </c>
      <c r="C59" s="4">
        <v>32</v>
      </c>
    </row>
    <row r="60" spans="1:3" ht="16" x14ac:dyDescent="0.2">
      <c r="A60" s="2" t="s">
        <v>1249</v>
      </c>
      <c r="B60" s="2" t="s">
        <v>5</v>
      </c>
      <c r="C60" s="2" t="s">
        <v>5</v>
      </c>
    </row>
    <row r="61" spans="1:3" ht="16" x14ac:dyDescent="0.2">
      <c r="A61" s="1" t="s">
        <v>1236</v>
      </c>
      <c r="B61" s="2" t="s">
        <v>5</v>
      </c>
      <c r="C61" s="2" t="s">
        <v>5</v>
      </c>
    </row>
    <row r="62" spans="1:3" ht="16" x14ac:dyDescent="0.2">
      <c r="A62" s="2" t="s">
        <v>1130</v>
      </c>
      <c r="B62" s="2" t="s">
        <v>111</v>
      </c>
      <c r="C62" s="2" t="s">
        <v>5</v>
      </c>
    </row>
    <row r="63" spans="1:3" ht="16" x14ac:dyDescent="0.2">
      <c r="A63" s="2" t="s">
        <v>1237</v>
      </c>
      <c r="B63" s="4">
        <v>3</v>
      </c>
      <c r="C63" s="2" t="s">
        <v>5</v>
      </c>
    </row>
    <row r="64" spans="1:3" ht="16" x14ac:dyDescent="0.2">
      <c r="A64" s="2" t="s">
        <v>1238</v>
      </c>
      <c r="B64" s="2" t="s">
        <v>111</v>
      </c>
      <c r="C64" s="2" t="s">
        <v>5</v>
      </c>
    </row>
    <row r="65" spans="1:3" ht="16" x14ac:dyDescent="0.2">
      <c r="A65" s="2" t="s">
        <v>1239</v>
      </c>
      <c r="B65" s="2" t="s">
        <v>111</v>
      </c>
      <c r="C65" s="2" t="s">
        <v>5</v>
      </c>
    </row>
    <row r="66" spans="1:3" ht="16" x14ac:dyDescent="0.2">
      <c r="A66" s="2" t="s">
        <v>1134</v>
      </c>
      <c r="B66" s="4">
        <v>3</v>
      </c>
      <c r="C66" s="2" t="s">
        <v>111</v>
      </c>
    </row>
    <row r="67" spans="1:3" ht="16" x14ac:dyDescent="0.2">
      <c r="A67" s="2" t="s">
        <v>1250</v>
      </c>
      <c r="B67" s="2" t="s">
        <v>5</v>
      </c>
      <c r="C67" s="2" t="s">
        <v>5</v>
      </c>
    </row>
    <row r="68" spans="1:3" ht="16" x14ac:dyDescent="0.2">
      <c r="A68" s="1" t="s">
        <v>1236</v>
      </c>
      <c r="B68" s="2" t="s">
        <v>5</v>
      </c>
      <c r="C68" s="2" t="s">
        <v>5</v>
      </c>
    </row>
    <row r="69" spans="1:3" ht="16" x14ac:dyDescent="0.2">
      <c r="A69" s="2" t="s">
        <v>1130</v>
      </c>
      <c r="B69" s="4">
        <v>706</v>
      </c>
      <c r="C69" s="2" t="s">
        <v>5</v>
      </c>
    </row>
    <row r="70" spans="1:3" ht="16" x14ac:dyDescent="0.2">
      <c r="A70" s="2" t="s">
        <v>1134</v>
      </c>
      <c r="B70" s="4">
        <v>720</v>
      </c>
      <c r="C70" s="4">
        <v>706</v>
      </c>
    </row>
    <row r="71" spans="1:3" ht="16" x14ac:dyDescent="0.2">
      <c r="A71" s="2" t="s">
        <v>1251</v>
      </c>
      <c r="B71" s="2" t="s">
        <v>5</v>
      </c>
      <c r="C71" s="2" t="s">
        <v>5</v>
      </c>
    </row>
    <row r="72" spans="1:3" ht="16" x14ac:dyDescent="0.2">
      <c r="A72" s="1" t="s">
        <v>1236</v>
      </c>
      <c r="B72" s="2" t="s">
        <v>5</v>
      </c>
      <c r="C72" s="2" t="s">
        <v>5</v>
      </c>
    </row>
    <row r="73" spans="1:3" ht="16" x14ac:dyDescent="0.2">
      <c r="A73" s="2" t="s">
        <v>1130</v>
      </c>
      <c r="B73" s="2" t="s">
        <v>111</v>
      </c>
      <c r="C73" s="4">
        <v>9</v>
      </c>
    </row>
    <row r="74" spans="1:3" ht="16" x14ac:dyDescent="0.2">
      <c r="A74" s="2" t="s">
        <v>1237</v>
      </c>
      <c r="B74" s="2" t="s">
        <v>5</v>
      </c>
      <c r="C74" s="2" t="s">
        <v>111</v>
      </c>
    </row>
    <row r="75" spans="1:3" ht="16" x14ac:dyDescent="0.2">
      <c r="A75" s="2" t="s">
        <v>1238</v>
      </c>
      <c r="B75" s="2" t="s">
        <v>5</v>
      </c>
      <c r="C75" s="2" t="s">
        <v>111</v>
      </c>
    </row>
    <row r="76" spans="1:3" ht="16" x14ac:dyDescent="0.2">
      <c r="A76" s="2" t="s">
        <v>1239</v>
      </c>
      <c r="B76" s="2" t="s">
        <v>5</v>
      </c>
      <c r="C76" s="4">
        <v>-9</v>
      </c>
    </row>
    <row r="77" spans="1:3" ht="16" x14ac:dyDescent="0.2">
      <c r="A77" s="2" t="s">
        <v>1134</v>
      </c>
      <c r="B77" s="2" t="s">
        <v>5</v>
      </c>
      <c r="C77" s="2" t="s">
        <v>111</v>
      </c>
    </row>
    <row r="78" spans="1:3" ht="16" x14ac:dyDescent="0.2">
      <c r="A78" s="2" t="s">
        <v>1252</v>
      </c>
      <c r="B78" s="2" t="s">
        <v>5</v>
      </c>
      <c r="C78" s="2" t="s">
        <v>5</v>
      </c>
    </row>
    <row r="79" spans="1:3" ht="16" x14ac:dyDescent="0.2">
      <c r="A79" s="1" t="s">
        <v>1236</v>
      </c>
      <c r="B79" s="2" t="s">
        <v>5</v>
      </c>
      <c r="C79" s="2" t="s">
        <v>5</v>
      </c>
    </row>
    <row r="80" spans="1:3" ht="16" x14ac:dyDescent="0.2">
      <c r="A80" s="2" t="s">
        <v>1130</v>
      </c>
      <c r="B80" s="4">
        <v>2023</v>
      </c>
      <c r="C80" s="2" t="s">
        <v>5</v>
      </c>
    </row>
    <row r="81" spans="1:3" ht="16" x14ac:dyDescent="0.2">
      <c r="A81" s="2" t="s">
        <v>1134</v>
      </c>
      <c r="B81" s="4">
        <v>2204</v>
      </c>
      <c r="C81" s="4">
        <v>2023</v>
      </c>
    </row>
    <row r="82" spans="1:3" ht="16" x14ac:dyDescent="0.2">
      <c r="A82" s="2" t="s">
        <v>1253</v>
      </c>
      <c r="B82" s="2" t="s">
        <v>5</v>
      </c>
      <c r="C82" s="2" t="s">
        <v>5</v>
      </c>
    </row>
    <row r="83" spans="1:3" ht="16" x14ac:dyDescent="0.2">
      <c r="A83" s="1" t="s">
        <v>1236</v>
      </c>
      <c r="B83" s="2" t="s">
        <v>5</v>
      </c>
      <c r="C83" s="2" t="s">
        <v>5</v>
      </c>
    </row>
    <row r="84" spans="1:3" ht="16" x14ac:dyDescent="0.2">
      <c r="A84" s="2" t="s">
        <v>1130</v>
      </c>
      <c r="B84" s="2" t="s">
        <v>111</v>
      </c>
      <c r="C84" s="4">
        <v>5</v>
      </c>
    </row>
    <row r="85" spans="1:3" ht="16" x14ac:dyDescent="0.2">
      <c r="A85" s="2" t="s">
        <v>1237</v>
      </c>
      <c r="B85" s="2" t="s">
        <v>5</v>
      </c>
      <c r="C85" s="4">
        <v>-45</v>
      </c>
    </row>
    <row r="86" spans="1:3" ht="16" x14ac:dyDescent="0.2">
      <c r="A86" s="2" t="s">
        <v>1238</v>
      </c>
      <c r="B86" s="2" t="s">
        <v>5</v>
      </c>
      <c r="C86" s="4">
        <v>-2</v>
      </c>
    </row>
    <row r="87" spans="1:3" ht="16" x14ac:dyDescent="0.2">
      <c r="A87" s="2" t="s">
        <v>1239</v>
      </c>
      <c r="B87" s="2" t="s">
        <v>5</v>
      </c>
      <c r="C87" s="4">
        <v>42</v>
      </c>
    </row>
    <row r="88" spans="1:3" ht="16" x14ac:dyDescent="0.2">
      <c r="A88" s="2" t="s">
        <v>1134</v>
      </c>
      <c r="B88" s="2" t="s">
        <v>5</v>
      </c>
      <c r="C88" s="2" t="s">
        <v>111</v>
      </c>
    </row>
    <row r="89" spans="1:3" ht="16" x14ac:dyDescent="0.2">
      <c r="A89" s="2" t="s">
        <v>1254</v>
      </c>
      <c r="B89" s="2" t="s">
        <v>5</v>
      </c>
      <c r="C89" s="2" t="s">
        <v>5</v>
      </c>
    </row>
    <row r="90" spans="1:3" ht="16" x14ac:dyDescent="0.2">
      <c r="A90" s="1" t="s">
        <v>1236</v>
      </c>
      <c r="B90" s="2" t="s">
        <v>5</v>
      </c>
      <c r="C90" s="2" t="s">
        <v>5</v>
      </c>
    </row>
    <row r="91" spans="1:3" ht="16" x14ac:dyDescent="0.2">
      <c r="A91" s="2" t="s">
        <v>1130</v>
      </c>
      <c r="B91" s="4">
        <v>4</v>
      </c>
      <c r="C91" s="2" t="s">
        <v>111</v>
      </c>
    </row>
    <row r="92" spans="1:3" ht="16" x14ac:dyDescent="0.2">
      <c r="A92" s="2" t="s">
        <v>1237</v>
      </c>
      <c r="B92" s="4">
        <v>-1</v>
      </c>
      <c r="C92" s="4">
        <v>-1</v>
      </c>
    </row>
    <row r="93" spans="1:3" ht="16" x14ac:dyDescent="0.2">
      <c r="A93" s="2" t="s">
        <v>1238</v>
      </c>
      <c r="B93" s="2" t="s">
        <v>111</v>
      </c>
      <c r="C93" s="4">
        <v>5</v>
      </c>
    </row>
    <row r="94" spans="1:3" ht="16" x14ac:dyDescent="0.2">
      <c r="A94" s="2" t="s">
        <v>1239</v>
      </c>
      <c r="B94" s="2" t="s">
        <v>111</v>
      </c>
      <c r="C94" s="2" t="s">
        <v>111</v>
      </c>
    </row>
    <row r="95" spans="1:3" ht="16" x14ac:dyDescent="0.2">
      <c r="A95" s="2" t="s">
        <v>1134</v>
      </c>
      <c r="B95" s="5">
        <v>3</v>
      </c>
      <c r="C95" s="5">
        <v>4</v>
      </c>
    </row>
  </sheetData>
  <mergeCells count="2">
    <mergeCell ref="A1:A2"/>
    <mergeCell ref="B1:C1"/>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B31"/>
  <sheetViews>
    <sheetView workbookViewId="0"/>
  </sheetViews>
  <sheetFormatPr baseColWidth="10" defaultColWidth="8.83203125" defaultRowHeight="15" x14ac:dyDescent="0.2"/>
  <cols>
    <col min="1" max="1" width="80" customWidth="1"/>
    <col min="2" max="2" width="22" customWidth="1"/>
  </cols>
  <sheetData>
    <row r="1" spans="1:2" ht="16" x14ac:dyDescent="0.2">
      <c r="A1" s="11" t="s">
        <v>1255</v>
      </c>
      <c r="B1" s="12" t="s">
        <v>686</v>
      </c>
    </row>
    <row r="2" spans="1:2" ht="16" x14ac:dyDescent="0.2">
      <c r="A2" s="2" t="s">
        <v>1099</v>
      </c>
      <c r="B2" s="2" t="s">
        <v>5</v>
      </c>
    </row>
    <row r="3" spans="1:2" ht="16" x14ac:dyDescent="0.2">
      <c r="A3" s="1" t="s">
        <v>1256</v>
      </c>
      <c r="B3" s="2" t="s">
        <v>5</v>
      </c>
    </row>
    <row r="4" spans="1:2" ht="16" x14ac:dyDescent="0.2">
      <c r="A4" s="2" t="s">
        <v>687</v>
      </c>
      <c r="B4" s="5">
        <v>4524</v>
      </c>
    </row>
    <row r="5" spans="1:2" ht="16" x14ac:dyDescent="0.2">
      <c r="A5" s="2" t="s">
        <v>688</v>
      </c>
      <c r="B5" s="4">
        <v>4425</v>
      </c>
    </row>
    <row r="6" spans="1:2" ht="16" x14ac:dyDescent="0.2">
      <c r="A6" s="2" t="s">
        <v>689</v>
      </c>
      <c r="B6" s="4">
        <v>4345</v>
      </c>
    </row>
    <row r="7" spans="1:2" ht="16" x14ac:dyDescent="0.2">
      <c r="A7" s="2" t="s">
        <v>690</v>
      </c>
      <c r="B7" s="4">
        <v>4241</v>
      </c>
    </row>
    <row r="8" spans="1:2" ht="16" x14ac:dyDescent="0.2">
      <c r="A8" s="2" t="s">
        <v>691</v>
      </c>
      <c r="B8" s="4">
        <v>4143</v>
      </c>
    </row>
    <row r="9" spans="1:2" ht="16" x14ac:dyDescent="0.2">
      <c r="A9" s="2" t="s">
        <v>1257</v>
      </c>
      <c r="B9" s="4">
        <v>19106</v>
      </c>
    </row>
    <row r="10" spans="1:2" ht="16" x14ac:dyDescent="0.2">
      <c r="A10" s="2" t="s">
        <v>1108</v>
      </c>
      <c r="B10" s="2" t="s">
        <v>5</v>
      </c>
    </row>
    <row r="11" spans="1:2" ht="16" x14ac:dyDescent="0.2">
      <c r="A11" s="1" t="s">
        <v>1256</v>
      </c>
      <c r="B11" s="2" t="s">
        <v>5</v>
      </c>
    </row>
    <row r="12" spans="1:2" ht="16" x14ac:dyDescent="0.2">
      <c r="A12" s="2" t="s">
        <v>687</v>
      </c>
      <c r="B12" s="4">
        <v>346</v>
      </c>
    </row>
    <row r="13" spans="1:2" ht="16" x14ac:dyDescent="0.2">
      <c r="A13" s="2" t="s">
        <v>688</v>
      </c>
      <c r="B13" s="4">
        <v>328</v>
      </c>
    </row>
    <row r="14" spans="1:2" ht="16" x14ac:dyDescent="0.2">
      <c r="A14" s="2" t="s">
        <v>689</v>
      </c>
      <c r="B14" s="4">
        <v>306</v>
      </c>
    </row>
    <row r="15" spans="1:2" ht="16" x14ac:dyDescent="0.2">
      <c r="A15" s="2" t="s">
        <v>690</v>
      </c>
      <c r="B15" s="4">
        <v>282</v>
      </c>
    </row>
    <row r="16" spans="1:2" ht="16" x14ac:dyDescent="0.2">
      <c r="A16" s="2" t="s">
        <v>691</v>
      </c>
      <c r="B16" s="4">
        <v>256</v>
      </c>
    </row>
    <row r="17" spans="1:2" ht="16" x14ac:dyDescent="0.2">
      <c r="A17" s="2" t="s">
        <v>1257</v>
      </c>
      <c r="B17" s="4">
        <v>943</v>
      </c>
    </row>
    <row r="18" spans="1:2" ht="16" x14ac:dyDescent="0.2">
      <c r="A18" s="1" t="s">
        <v>1126</v>
      </c>
      <c r="B18" s="2" t="s">
        <v>5</v>
      </c>
    </row>
    <row r="19" spans="1:2" ht="16" x14ac:dyDescent="0.2">
      <c r="A19" s="2" t="s">
        <v>687</v>
      </c>
      <c r="B19" s="4">
        <v>358</v>
      </c>
    </row>
    <row r="20" spans="1:2" ht="16" x14ac:dyDescent="0.2">
      <c r="A20" s="2" t="s">
        <v>688</v>
      </c>
      <c r="B20" s="4">
        <v>341</v>
      </c>
    </row>
    <row r="21" spans="1:2" ht="16" x14ac:dyDescent="0.2">
      <c r="A21" s="2" t="s">
        <v>689</v>
      </c>
      <c r="B21" s="4">
        <v>319</v>
      </c>
    </row>
    <row r="22" spans="1:2" ht="16" x14ac:dyDescent="0.2">
      <c r="A22" s="2" t="s">
        <v>690</v>
      </c>
      <c r="B22" s="4">
        <v>295</v>
      </c>
    </row>
    <row r="23" spans="1:2" ht="16" x14ac:dyDescent="0.2">
      <c r="A23" s="2" t="s">
        <v>691</v>
      </c>
      <c r="B23" s="4">
        <v>269</v>
      </c>
    </row>
    <row r="24" spans="1:2" ht="16" x14ac:dyDescent="0.2">
      <c r="A24" s="2" t="s">
        <v>1257</v>
      </c>
      <c r="B24" s="4">
        <v>1004</v>
      </c>
    </row>
    <row r="25" spans="1:2" ht="16" x14ac:dyDescent="0.2">
      <c r="A25" s="1" t="s">
        <v>1127</v>
      </c>
      <c r="B25" s="2" t="s">
        <v>5</v>
      </c>
    </row>
    <row r="26" spans="1:2" ht="16" x14ac:dyDescent="0.2">
      <c r="A26" s="2" t="s">
        <v>687</v>
      </c>
      <c r="B26" s="4">
        <v>-12</v>
      </c>
    </row>
    <row r="27" spans="1:2" ht="16" x14ac:dyDescent="0.2">
      <c r="A27" s="2" t="s">
        <v>688</v>
      </c>
      <c r="B27" s="4">
        <v>-13</v>
      </c>
    </row>
    <row r="28" spans="1:2" ht="16" x14ac:dyDescent="0.2">
      <c r="A28" s="2" t="s">
        <v>689</v>
      </c>
      <c r="B28" s="4">
        <v>-13</v>
      </c>
    </row>
    <row r="29" spans="1:2" ht="16" x14ac:dyDescent="0.2">
      <c r="A29" s="2" t="s">
        <v>690</v>
      </c>
      <c r="B29" s="4">
        <v>-13</v>
      </c>
    </row>
    <row r="30" spans="1:2" ht="16" x14ac:dyDescent="0.2">
      <c r="A30" s="2" t="s">
        <v>691</v>
      </c>
      <c r="B30" s="4">
        <v>-13</v>
      </c>
    </row>
    <row r="31" spans="1:2" ht="16" x14ac:dyDescent="0.2">
      <c r="A31" s="2" t="s">
        <v>1257</v>
      </c>
      <c r="B31" s="5">
        <v>-61</v>
      </c>
    </row>
  </sheetData>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K78"/>
  <sheetViews>
    <sheetView workbookViewId="0"/>
  </sheetViews>
  <sheetFormatPr baseColWidth="10" defaultColWidth="8.83203125" defaultRowHeight="15" x14ac:dyDescent="0.2"/>
  <cols>
    <col min="1" max="1" width="80" customWidth="1"/>
    <col min="2" max="3" width="32" customWidth="1"/>
    <col min="4" max="5" width="21" customWidth="1"/>
    <col min="6" max="8" width="32" customWidth="1"/>
    <col min="9" max="9" width="45" customWidth="1"/>
    <col min="10" max="10" width="33" customWidth="1"/>
    <col min="11" max="11" width="40" customWidth="1"/>
  </cols>
  <sheetData>
    <row r="1" spans="1:11" x14ac:dyDescent="0.2">
      <c r="A1" s="59" t="s">
        <v>1258</v>
      </c>
      <c r="F1" s="61" t="s">
        <v>1117</v>
      </c>
      <c r="G1" s="60"/>
      <c r="H1" s="60"/>
      <c r="I1" s="61" t="s">
        <v>1</v>
      </c>
      <c r="J1" s="60"/>
      <c r="K1" s="60"/>
    </row>
    <row r="2" spans="1:11" ht="16" x14ac:dyDescent="0.2">
      <c r="A2" s="60"/>
      <c r="B2" s="12" t="s">
        <v>1259</v>
      </c>
      <c r="C2" s="12" t="s">
        <v>1260</v>
      </c>
      <c r="D2" s="12" t="s">
        <v>1261</v>
      </c>
      <c r="E2" s="12" t="s">
        <v>1262</v>
      </c>
      <c r="F2" s="12" t="s">
        <v>1263</v>
      </c>
      <c r="G2" s="12" t="s">
        <v>1264</v>
      </c>
      <c r="H2" s="12" t="s">
        <v>1265</v>
      </c>
      <c r="I2" s="12" t="s">
        <v>1266</v>
      </c>
      <c r="J2" s="12" t="s">
        <v>1267</v>
      </c>
      <c r="K2" s="12" t="s">
        <v>1268</v>
      </c>
    </row>
    <row r="3" spans="1:11" ht="16" x14ac:dyDescent="0.2">
      <c r="A3" s="1" t="s">
        <v>1269</v>
      </c>
      <c r="B3" s="2" t="s">
        <v>5</v>
      </c>
      <c r="C3" s="2" t="s">
        <v>5</v>
      </c>
      <c r="D3" s="2" t="s">
        <v>5</v>
      </c>
      <c r="E3" s="2" t="s">
        <v>5</v>
      </c>
      <c r="F3" s="2" t="s">
        <v>5</v>
      </c>
      <c r="G3" s="2" t="s">
        <v>5</v>
      </c>
      <c r="H3" s="2" t="s">
        <v>5</v>
      </c>
      <c r="I3" s="2" t="s">
        <v>5</v>
      </c>
      <c r="J3" s="2" t="s">
        <v>5</v>
      </c>
      <c r="K3" s="2" t="s">
        <v>5</v>
      </c>
    </row>
    <row r="4" spans="1:11" ht="16" x14ac:dyDescent="0.2">
      <c r="A4" s="2" t="s">
        <v>1270</v>
      </c>
      <c r="B4" s="2" t="s">
        <v>5</v>
      </c>
      <c r="C4" s="2" t="s">
        <v>5</v>
      </c>
      <c r="D4" s="2" t="s">
        <v>5</v>
      </c>
      <c r="E4" s="2" t="s">
        <v>5</v>
      </c>
      <c r="F4" s="2" t="s">
        <v>5</v>
      </c>
      <c r="G4" s="2" t="s">
        <v>5</v>
      </c>
      <c r="H4" s="2" t="s">
        <v>5</v>
      </c>
      <c r="I4" s="4">
        <v>12900000</v>
      </c>
      <c r="J4" s="2" t="s">
        <v>5</v>
      </c>
      <c r="K4" s="2" t="s">
        <v>5</v>
      </c>
    </row>
    <row r="5" spans="1:11" ht="16" x14ac:dyDescent="0.2">
      <c r="A5" s="2" t="s">
        <v>1271</v>
      </c>
      <c r="B5" s="2" t="s">
        <v>5</v>
      </c>
      <c r="C5" s="2" t="s">
        <v>5</v>
      </c>
      <c r="D5" s="2" t="s">
        <v>5</v>
      </c>
      <c r="E5" s="2" t="s">
        <v>5</v>
      </c>
      <c r="F5" s="2" t="s">
        <v>5</v>
      </c>
      <c r="G5" s="2" t="s">
        <v>5</v>
      </c>
      <c r="H5" s="2" t="s">
        <v>5</v>
      </c>
      <c r="I5" s="4">
        <v>30000</v>
      </c>
      <c r="J5" s="2" t="s">
        <v>5</v>
      </c>
      <c r="K5" s="2" t="s">
        <v>5</v>
      </c>
    </row>
    <row r="6" spans="1:11" ht="32" x14ac:dyDescent="0.2">
      <c r="A6" s="2" t="s">
        <v>1272</v>
      </c>
      <c r="B6" s="2" t="s">
        <v>5</v>
      </c>
      <c r="C6" s="2" t="s">
        <v>5</v>
      </c>
      <c r="D6" s="2" t="s">
        <v>5</v>
      </c>
      <c r="E6" s="2" t="s">
        <v>5</v>
      </c>
      <c r="F6" s="2" t="s">
        <v>5</v>
      </c>
      <c r="G6" s="2" t="s">
        <v>5</v>
      </c>
      <c r="H6" s="2" t="s">
        <v>5</v>
      </c>
      <c r="I6" s="5">
        <v>80</v>
      </c>
      <c r="J6" s="5">
        <v>75</v>
      </c>
      <c r="K6" s="5">
        <v>84</v>
      </c>
    </row>
    <row r="7" spans="1:11" ht="16" x14ac:dyDescent="0.2">
      <c r="A7" s="2" t="s">
        <v>1273</v>
      </c>
      <c r="B7" s="2" t="s">
        <v>5</v>
      </c>
      <c r="C7" s="2" t="s">
        <v>5</v>
      </c>
      <c r="D7" s="2" t="s">
        <v>5</v>
      </c>
      <c r="E7" s="2" t="s">
        <v>5</v>
      </c>
      <c r="F7" s="2" t="s">
        <v>5</v>
      </c>
      <c r="G7" s="2" t="s">
        <v>5</v>
      </c>
      <c r="H7" s="2" t="s">
        <v>5</v>
      </c>
      <c r="I7" s="5">
        <v>18</v>
      </c>
      <c r="J7" s="4">
        <v>17</v>
      </c>
      <c r="K7" s="4">
        <v>19</v>
      </c>
    </row>
    <row r="8" spans="1:11" ht="16" x14ac:dyDescent="0.2">
      <c r="A8" s="2" t="s">
        <v>1274</v>
      </c>
      <c r="B8" s="2" t="s">
        <v>5</v>
      </c>
      <c r="C8" s="2" t="s">
        <v>5</v>
      </c>
      <c r="D8" s="2" t="s">
        <v>5</v>
      </c>
      <c r="E8" s="2" t="s">
        <v>5</v>
      </c>
      <c r="F8" s="2" t="s">
        <v>5</v>
      </c>
      <c r="G8" s="2" t="s">
        <v>5</v>
      </c>
      <c r="H8" s="2" t="s">
        <v>5</v>
      </c>
      <c r="I8" s="4">
        <v>23</v>
      </c>
      <c r="J8" s="2" t="s">
        <v>5</v>
      </c>
      <c r="K8" s="2" t="s">
        <v>5</v>
      </c>
    </row>
    <row r="9" spans="1:11" ht="16" x14ac:dyDescent="0.2">
      <c r="A9" s="2" t="s">
        <v>1275</v>
      </c>
      <c r="B9" s="2" t="s">
        <v>5</v>
      </c>
      <c r="C9" s="2" t="s">
        <v>5</v>
      </c>
      <c r="D9" s="2" t="s">
        <v>5</v>
      </c>
      <c r="E9" s="2" t="s">
        <v>5</v>
      </c>
      <c r="F9" s="2" t="s">
        <v>5</v>
      </c>
      <c r="G9" s="2" t="s">
        <v>5</v>
      </c>
      <c r="H9" s="2" t="s">
        <v>5</v>
      </c>
      <c r="I9" s="5">
        <v>188</v>
      </c>
      <c r="J9" s="4">
        <v>-117</v>
      </c>
      <c r="K9" s="5">
        <v>126</v>
      </c>
    </row>
    <row r="10" spans="1:11" ht="16" x14ac:dyDescent="0.2">
      <c r="A10" s="2" t="s">
        <v>1276</v>
      </c>
      <c r="B10" s="2" t="s">
        <v>5</v>
      </c>
      <c r="C10" s="2" t="s">
        <v>5</v>
      </c>
      <c r="D10" s="2" t="s">
        <v>5</v>
      </c>
      <c r="E10" s="2" t="s">
        <v>5</v>
      </c>
      <c r="F10" s="2" t="s">
        <v>5</v>
      </c>
      <c r="G10" s="2" t="s">
        <v>5</v>
      </c>
      <c r="H10" s="2" t="s">
        <v>5</v>
      </c>
      <c r="I10" s="4">
        <v>1640</v>
      </c>
      <c r="J10" s="5">
        <v>1499</v>
      </c>
      <c r="K10" s="2" t="s">
        <v>5</v>
      </c>
    </row>
    <row r="11" spans="1:11" ht="16" x14ac:dyDescent="0.2">
      <c r="A11" s="2" t="s">
        <v>1277</v>
      </c>
      <c r="B11" s="2" t="s">
        <v>5</v>
      </c>
      <c r="C11" s="2" t="s">
        <v>5</v>
      </c>
      <c r="D11" s="2" t="s">
        <v>5</v>
      </c>
      <c r="E11" s="2" t="s">
        <v>5</v>
      </c>
      <c r="F11" s="2" t="s">
        <v>5</v>
      </c>
      <c r="G11" s="2" t="s">
        <v>5</v>
      </c>
      <c r="H11" s="2" t="s">
        <v>5</v>
      </c>
      <c r="I11" s="2" t="s">
        <v>5</v>
      </c>
      <c r="J11" s="2" t="s">
        <v>5</v>
      </c>
      <c r="K11" s="2" t="s">
        <v>5</v>
      </c>
    </row>
    <row r="12" spans="1:11" ht="16" x14ac:dyDescent="0.2">
      <c r="A12" s="1" t="s">
        <v>1269</v>
      </c>
      <c r="B12" s="2" t="s">
        <v>5</v>
      </c>
      <c r="C12" s="2" t="s">
        <v>5</v>
      </c>
      <c r="D12" s="2" t="s">
        <v>5</v>
      </c>
      <c r="E12" s="2" t="s">
        <v>5</v>
      </c>
      <c r="F12" s="2" t="s">
        <v>5</v>
      </c>
      <c r="G12" s="2" t="s">
        <v>5</v>
      </c>
      <c r="H12" s="2" t="s">
        <v>5</v>
      </c>
      <c r="I12" s="2" t="s">
        <v>5</v>
      </c>
      <c r="J12" s="2" t="s">
        <v>5</v>
      </c>
      <c r="K12" s="2" t="s">
        <v>5</v>
      </c>
    </row>
    <row r="13" spans="1:11" ht="16" x14ac:dyDescent="0.2">
      <c r="A13" s="2" t="s">
        <v>1278</v>
      </c>
      <c r="B13" s="2" t="s">
        <v>5</v>
      </c>
      <c r="C13" s="2" t="s">
        <v>5</v>
      </c>
      <c r="D13" s="2" t="s">
        <v>5</v>
      </c>
      <c r="E13" s="2" t="s">
        <v>5</v>
      </c>
      <c r="F13" s="2" t="s">
        <v>5</v>
      </c>
      <c r="G13" s="2" t="s">
        <v>5</v>
      </c>
      <c r="H13" s="2" t="s">
        <v>5</v>
      </c>
      <c r="I13" s="5">
        <v>11</v>
      </c>
      <c r="J13" s="2" t="s">
        <v>5</v>
      </c>
      <c r="K13" s="2" t="s">
        <v>5</v>
      </c>
    </row>
    <row r="14" spans="1:11" ht="16" x14ac:dyDescent="0.2">
      <c r="A14" s="2" t="s">
        <v>1279</v>
      </c>
      <c r="B14" s="2" t="s">
        <v>5</v>
      </c>
      <c r="C14" s="2" t="s">
        <v>5</v>
      </c>
      <c r="D14" s="2" t="s">
        <v>5</v>
      </c>
      <c r="E14" s="2" t="s">
        <v>5</v>
      </c>
      <c r="F14" s="2" t="s">
        <v>5</v>
      </c>
      <c r="G14" s="2" t="s">
        <v>5</v>
      </c>
      <c r="H14" s="2" t="s">
        <v>5</v>
      </c>
      <c r="I14" s="2" t="s">
        <v>1280</v>
      </c>
      <c r="J14" s="2" t="s">
        <v>5</v>
      </c>
      <c r="K14" s="2" t="s">
        <v>5</v>
      </c>
    </row>
    <row r="15" spans="1:11" ht="16" x14ac:dyDescent="0.2">
      <c r="A15" s="2" t="s">
        <v>1281</v>
      </c>
      <c r="B15" s="2" t="s">
        <v>5</v>
      </c>
      <c r="C15" s="2" t="s">
        <v>5</v>
      </c>
      <c r="D15" s="2" t="s">
        <v>5</v>
      </c>
      <c r="E15" s="2" t="s">
        <v>5</v>
      </c>
      <c r="F15" s="2" t="s">
        <v>5</v>
      </c>
      <c r="G15" s="2" t="s">
        <v>5</v>
      </c>
      <c r="H15" s="2" t="s">
        <v>5</v>
      </c>
      <c r="I15" s="2" t="s">
        <v>5</v>
      </c>
      <c r="J15" s="2" t="s">
        <v>5</v>
      </c>
      <c r="K15" s="2" t="s">
        <v>5</v>
      </c>
    </row>
    <row r="16" spans="1:11" ht="16" x14ac:dyDescent="0.2">
      <c r="A16" s="1" t="s">
        <v>1269</v>
      </c>
      <c r="B16" s="2" t="s">
        <v>5</v>
      </c>
      <c r="C16" s="2" t="s">
        <v>5</v>
      </c>
      <c r="D16" s="2" t="s">
        <v>5</v>
      </c>
      <c r="E16" s="2" t="s">
        <v>5</v>
      </c>
      <c r="F16" s="2" t="s">
        <v>5</v>
      </c>
      <c r="G16" s="2" t="s">
        <v>5</v>
      </c>
      <c r="H16" s="2" t="s">
        <v>5</v>
      </c>
      <c r="I16" s="2" t="s">
        <v>5</v>
      </c>
      <c r="J16" s="2" t="s">
        <v>5</v>
      </c>
      <c r="K16" s="2" t="s">
        <v>5</v>
      </c>
    </row>
    <row r="17" spans="1:11" ht="16" x14ac:dyDescent="0.2">
      <c r="A17" s="2" t="s">
        <v>1278</v>
      </c>
      <c r="B17" s="2" t="s">
        <v>5</v>
      </c>
      <c r="C17" s="2" t="s">
        <v>5</v>
      </c>
      <c r="D17" s="2" t="s">
        <v>5</v>
      </c>
      <c r="E17" s="2" t="s">
        <v>5</v>
      </c>
      <c r="F17" s="2" t="s">
        <v>5</v>
      </c>
      <c r="G17" s="2" t="s">
        <v>5</v>
      </c>
      <c r="H17" s="2" t="s">
        <v>5</v>
      </c>
      <c r="I17" s="5">
        <v>366</v>
      </c>
      <c r="J17" s="2" t="s">
        <v>5</v>
      </c>
      <c r="K17" s="2" t="s">
        <v>5</v>
      </c>
    </row>
    <row r="18" spans="1:11" ht="16" x14ac:dyDescent="0.2">
      <c r="A18" s="2" t="s">
        <v>1282</v>
      </c>
      <c r="B18" s="2" t="s">
        <v>5</v>
      </c>
      <c r="C18" s="2" t="s">
        <v>5</v>
      </c>
      <c r="D18" s="2" t="s">
        <v>5</v>
      </c>
      <c r="E18" s="2" t="s">
        <v>5</v>
      </c>
      <c r="F18" s="2" t="s">
        <v>5</v>
      </c>
      <c r="G18" s="2" t="s">
        <v>5</v>
      </c>
      <c r="H18" s="2" t="s">
        <v>5</v>
      </c>
      <c r="I18" s="4">
        <v>411134</v>
      </c>
      <c r="J18" s="2" t="s">
        <v>5</v>
      </c>
      <c r="K18" s="2" t="s">
        <v>5</v>
      </c>
    </row>
    <row r="19" spans="1:11" ht="16" x14ac:dyDescent="0.2">
      <c r="A19" s="2" t="s">
        <v>707</v>
      </c>
      <c r="B19" s="2" t="s">
        <v>5</v>
      </c>
      <c r="C19" s="2" t="s">
        <v>5</v>
      </c>
      <c r="D19" s="2" t="s">
        <v>5</v>
      </c>
      <c r="E19" s="2" t="s">
        <v>5</v>
      </c>
      <c r="F19" s="2" t="s">
        <v>5</v>
      </c>
      <c r="G19" s="2" t="s">
        <v>5</v>
      </c>
      <c r="H19" s="2" t="s">
        <v>5</v>
      </c>
      <c r="I19" s="2" t="s">
        <v>5</v>
      </c>
      <c r="J19" s="2" t="s">
        <v>5</v>
      </c>
      <c r="K19" s="2" t="s">
        <v>5</v>
      </c>
    </row>
    <row r="20" spans="1:11" ht="16" x14ac:dyDescent="0.2">
      <c r="A20" s="1" t="s">
        <v>1269</v>
      </c>
      <c r="B20" s="2" t="s">
        <v>5</v>
      </c>
      <c r="C20" s="2" t="s">
        <v>5</v>
      </c>
      <c r="D20" s="2" t="s">
        <v>5</v>
      </c>
      <c r="E20" s="2" t="s">
        <v>5</v>
      </c>
      <c r="F20" s="2" t="s">
        <v>5</v>
      </c>
      <c r="G20" s="2" t="s">
        <v>5</v>
      </c>
      <c r="H20" s="2" t="s">
        <v>5</v>
      </c>
      <c r="I20" s="2" t="s">
        <v>5</v>
      </c>
      <c r="J20" s="2" t="s">
        <v>5</v>
      </c>
      <c r="K20" s="2" t="s">
        <v>5</v>
      </c>
    </row>
    <row r="21" spans="1:11" ht="16" x14ac:dyDescent="0.2">
      <c r="A21" s="2" t="s">
        <v>1283</v>
      </c>
      <c r="B21" s="2" t="s">
        <v>5</v>
      </c>
      <c r="C21" s="2" t="s">
        <v>5</v>
      </c>
      <c r="D21" s="2" t="s">
        <v>5</v>
      </c>
      <c r="E21" s="2" t="s">
        <v>5</v>
      </c>
      <c r="F21" s="2" t="s">
        <v>5</v>
      </c>
      <c r="G21" s="2" t="s">
        <v>5</v>
      </c>
      <c r="H21" s="2" t="s">
        <v>5</v>
      </c>
      <c r="I21" s="2" t="s">
        <v>621</v>
      </c>
      <c r="J21" s="2" t="s">
        <v>5</v>
      </c>
      <c r="K21" s="2" t="s">
        <v>5</v>
      </c>
    </row>
    <row r="22" spans="1:11" ht="16" x14ac:dyDescent="0.2">
      <c r="A22" s="2" t="s">
        <v>1284</v>
      </c>
      <c r="B22" s="2" t="s">
        <v>5</v>
      </c>
      <c r="C22" s="2" t="s">
        <v>5</v>
      </c>
      <c r="D22" s="2" t="s">
        <v>5</v>
      </c>
      <c r="E22" s="2" t="s">
        <v>5</v>
      </c>
      <c r="F22" s="2" t="s">
        <v>5</v>
      </c>
      <c r="G22" s="2" t="s">
        <v>5</v>
      </c>
      <c r="H22" s="2" t="s">
        <v>5</v>
      </c>
      <c r="I22" s="2" t="s">
        <v>634</v>
      </c>
      <c r="J22" s="2" t="s">
        <v>5</v>
      </c>
      <c r="K22" s="2" t="s">
        <v>5</v>
      </c>
    </row>
    <row r="23" spans="1:11" ht="16" x14ac:dyDescent="0.2">
      <c r="A23" s="2" t="s">
        <v>1285</v>
      </c>
      <c r="B23" s="2" t="s">
        <v>5</v>
      </c>
      <c r="C23" s="2" t="s">
        <v>5</v>
      </c>
      <c r="D23" s="2" t="s">
        <v>5</v>
      </c>
      <c r="E23" s="2" t="s">
        <v>5</v>
      </c>
      <c r="F23" s="2" t="s">
        <v>5</v>
      </c>
      <c r="G23" s="2" t="s">
        <v>5</v>
      </c>
      <c r="H23" s="2" t="s">
        <v>5</v>
      </c>
      <c r="I23" s="2" t="s">
        <v>5</v>
      </c>
      <c r="J23" s="6">
        <v>83.04</v>
      </c>
      <c r="K23" s="6">
        <v>74.63</v>
      </c>
    </row>
    <row r="24" spans="1:11" ht="16" x14ac:dyDescent="0.2">
      <c r="A24" s="2" t="s">
        <v>1286</v>
      </c>
      <c r="B24" s="2" t="s">
        <v>5</v>
      </c>
      <c r="C24" s="2" t="s">
        <v>5</v>
      </c>
      <c r="D24" s="2" t="s">
        <v>5</v>
      </c>
      <c r="E24" s="2" t="s">
        <v>5</v>
      </c>
      <c r="F24" s="2" t="s">
        <v>5</v>
      </c>
      <c r="G24" s="2" t="s">
        <v>5</v>
      </c>
      <c r="H24" s="2" t="s">
        <v>5</v>
      </c>
      <c r="I24" s="2" t="s">
        <v>5</v>
      </c>
      <c r="J24" s="2" t="s">
        <v>5</v>
      </c>
      <c r="K24" s="2" t="s">
        <v>5</v>
      </c>
    </row>
    <row r="25" spans="1:11" ht="16" x14ac:dyDescent="0.2">
      <c r="A25" s="1" t="s">
        <v>1269</v>
      </c>
      <c r="B25" s="2" t="s">
        <v>5</v>
      </c>
      <c r="C25" s="2" t="s">
        <v>5</v>
      </c>
      <c r="D25" s="2" t="s">
        <v>5</v>
      </c>
      <c r="E25" s="2" t="s">
        <v>5</v>
      </c>
      <c r="F25" s="2" t="s">
        <v>5</v>
      </c>
      <c r="G25" s="2" t="s">
        <v>5</v>
      </c>
      <c r="H25" s="2" t="s">
        <v>5</v>
      </c>
      <c r="I25" s="2" t="s">
        <v>5</v>
      </c>
      <c r="J25" s="2" t="s">
        <v>5</v>
      </c>
      <c r="K25" s="2" t="s">
        <v>5</v>
      </c>
    </row>
    <row r="26" spans="1:11" ht="16" x14ac:dyDescent="0.2">
      <c r="A26" s="2" t="s">
        <v>1271</v>
      </c>
      <c r="B26" s="2" t="s">
        <v>5</v>
      </c>
      <c r="C26" s="2" t="s">
        <v>5</v>
      </c>
      <c r="D26" s="4">
        <v>348769</v>
      </c>
      <c r="E26" s="4">
        <v>342986</v>
      </c>
      <c r="F26" s="2" t="s">
        <v>5</v>
      </c>
      <c r="G26" s="2" t="s">
        <v>5</v>
      </c>
      <c r="H26" s="2" t="s">
        <v>5</v>
      </c>
      <c r="I26" s="2" t="s">
        <v>5</v>
      </c>
      <c r="J26" s="2" t="s">
        <v>5</v>
      </c>
      <c r="K26" s="4">
        <v>148322</v>
      </c>
    </row>
    <row r="27" spans="1:11" ht="32" x14ac:dyDescent="0.2">
      <c r="A27" s="2" t="s">
        <v>1287</v>
      </c>
      <c r="B27" s="2" t="s">
        <v>5</v>
      </c>
      <c r="C27" s="2" t="s">
        <v>5</v>
      </c>
      <c r="D27" s="2" t="s">
        <v>5</v>
      </c>
      <c r="E27" s="8">
        <v>1.2</v>
      </c>
      <c r="F27" s="2" t="s">
        <v>5</v>
      </c>
      <c r="G27" s="2" t="s">
        <v>5</v>
      </c>
      <c r="H27" s="2" t="s">
        <v>5</v>
      </c>
      <c r="I27" s="2" t="s">
        <v>5</v>
      </c>
      <c r="J27" s="2" t="s">
        <v>5</v>
      </c>
      <c r="K27" s="8">
        <v>1.2</v>
      </c>
    </row>
    <row r="28" spans="1:11" ht="16" x14ac:dyDescent="0.2">
      <c r="A28" s="2" t="s">
        <v>1288</v>
      </c>
      <c r="B28" s="2" t="s">
        <v>5</v>
      </c>
      <c r="C28" s="2" t="s">
        <v>5</v>
      </c>
      <c r="D28" s="2" t="s">
        <v>5</v>
      </c>
      <c r="E28" s="2" t="s">
        <v>5</v>
      </c>
      <c r="F28" s="2" t="s">
        <v>5</v>
      </c>
      <c r="G28" s="2" t="s">
        <v>5</v>
      </c>
      <c r="H28" s="2" t="s">
        <v>5</v>
      </c>
      <c r="I28" s="2" t="s">
        <v>5</v>
      </c>
      <c r="J28" s="2" t="s">
        <v>5</v>
      </c>
      <c r="K28" s="2" t="s">
        <v>5</v>
      </c>
    </row>
    <row r="29" spans="1:11" ht="16" x14ac:dyDescent="0.2">
      <c r="A29" s="1" t="s">
        <v>1269</v>
      </c>
      <c r="B29" s="2" t="s">
        <v>5</v>
      </c>
      <c r="C29" s="2" t="s">
        <v>5</v>
      </c>
      <c r="D29" s="2" t="s">
        <v>5</v>
      </c>
      <c r="E29" s="2" t="s">
        <v>5</v>
      </c>
      <c r="F29" s="2" t="s">
        <v>5</v>
      </c>
      <c r="G29" s="2" t="s">
        <v>5</v>
      </c>
      <c r="H29" s="2" t="s">
        <v>5</v>
      </c>
      <c r="I29" s="2" t="s">
        <v>5</v>
      </c>
      <c r="J29" s="2" t="s">
        <v>5</v>
      </c>
      <c r="K29" s="2" t="s">
        <v>5</v>
      </c>
    </row>
    <row r="30" spans="1:11" ht="32" x14ac:dyDescent="0.2">
      <c r="A30" s="2" t="s">
        <v>1287</v>
      </c>
      <c r="B30" s="2" t="s">
        <v>5</v>
      </c>
      <c r="C30" s="2" t="s">
        <v>5</v>
      </c>
      <c r="D30" s="8">
        <v>1.2</v>
      </c>
      <c r="E30" s="2" t="s">
        <v>5</v>
      </c>
      <c r="F30" s="2" t="s">
        <v>5</v>
      </c>
      <c r="G30" s="2" t="s">
        <v>5</v>
      </c>
      <c r="H30" s="2" t="s">
        <v>5</v>
      </c>
      <c r="I30" s="2" t="s">
        <v>5</v>
      </c>
      <c r="J30" s="2" t="s">
        <v>5</v>
      </c>
      <c r="K30" s="2" t="s">
        <v>5</v>
      </c>
    </row>
    <row r="31" spans="1:11" ht="32" x14ac:dyDescent="0.2">
      <c r="A31" s="2" t="s">
        <v>1289</v>
      </c>
      <c r="B31" s="2" t="s">
        <v>5</v>
      </c>
      <c r="C31" s="2" t="s">
        <v>5</v>
      </c>
      <c r="D31" s="8">
        <v>1.1000000000000001</v>
      </c>
      <c r="E31" s="2" t="s">
        <v>5</v>
      </c>
      <c r="F31" s="2" t="s">
        <v>5</v>
      </c>
      <c r="G31" s="2" t="s">
        <v>5</v>
      </c>
      <c r="H31" s="2" t="s">
        <v>5</v>
      </c>
      <c r="I31" s="2" t="s">
        <v>5</v>
      </c>
      <c r="J31" s="2" t="s">
        <v>5</v>
      </c>
      <c r="K31" s="2" t="s">
        <v>5</v>
      </c>
    </row>
    <row r="32" spans="1:11" ht="16" x14ac:dyDescent="0.2">
      <c r="A32" s="2" t="s">
        <v>1290</v>
      </c>
      <c r="B32" s="2" t="s">
        <v>5</v>
      </c>
      <c r="C32" s="2" t="s">
        <v>5</v>
      </c>
      <c r="D32" s="2" t="s">
        <v>5</v>
      </c>
      <c r="E32" s="2" t="s">
        <v>5</v>
      </c>
      <c r="F32" s="2" t="s">
        <v>5</v>
      </c>
      <c r="G32" s="2" t="s">
        <v>5</v>
      </c>
      <c r="H32" s="2" t="s">
        <v>5</v>
      </c>
      <c r="I32" s="2" t="s">
        <v>5</v>
      </c>
      <c r="J32" s="2" t="s">
        <v>5</v>
      </c>
      <c r="K32" s="2" t="s">
        <v>5</v>
      </c>
    </row>
    <row r="33" spans="1:11" ht="16" x14ac:dyDescent="0.2">
      <c r="A33" s="1" t="s">
        <v>1269</v>
      </c>
      <c r="B33" s="2" t="s">
        <v>5</v>
      </c>
      <c r="C33" s="2" t="s">
        <v>5</v>
      </c>
      <c r="D33" s="2" t="s">
        <v>5</v>
      </c>
      <c r="E33" s="2" t="s">
        <v>5</v>
      </c>
      <c r="F33" s="2" t="s">
        <v>5</v>
      </c>
      <c r="G33" s="2" t="s">
        <v>5</v>
      </c>
      <c r="H33" s="2" t="s">
        <v>5</v>
      </c>
      <c r="I33" s="2" t="s">
        <v>5</v>
      </c>
      <c r="J33" s="2" t="s">
        <v>5</v>
      </c>
      <c r="K33" s="2" t="s">
        <v>5</v>
      </c>
    </row>
    <row r="34" spans="1:11" ht="16" x14ac:dyDescent="0.2">
      <c r="A34" s="2" t="s">
        <v>1271</v>
      </c>
      <c r="B34" s="2" t="s">
        <v>5</v>
      </c>
      <c r="C34" s="2" t="s">
        <v>5</v>
      </c>
      <c r="D34" s="2" t="s">
        <v>5</v>
      </c>
      <c r="E34" s="2" t="s">
        <v>5</v>
      </c>
      <c r="F34" s="2" t="s">
        <v>5</v>
      </c>
      <c r="G34" s="2" t="s">
        <v>5</v>
      </c>
      <c r="H34" s="2" t="s">
        <v>5</v>
      </c>
      <c r="I34" s="2" t="s">
        <v>5</v>
      </c>
      <c r="J34" s="2" t="s">
        <v>5</v>
      </c>
      <c r="K34" s="4">
        <v>40322</v>
      </c>
    </row>
    <row r="35" spans="1:11" ht="16" x14ac:dyDescent="0.2">
      <c r="A35" s="2" t="s">
        <v>1291</v>
      </c>
      <c r="B35" s="2" t="s">
        <v>5</v>
      </c>
      <c r="C35" s="2" t="s">
        <v>5</v>
      </c>
      <c r="D35" s="2" t="s">
        <v>5</v>
      </c>
      <c r="E35" s="2" t="s">
        <v>5</v>
      </c>
      <c r="F35" s="2" t="s">
        <v>5</v>
      </c>
      <c r="G35" s="2" t="s">
        <v>5</v>
      </c>
      <c r="H35" s="2" t="s">
        <v>5</v>
      </c>
      <c r="I35" s="2" t="s">
        <v>5</v>
      </c>
      <c r="J35" s="2" t="s">
        <v>5</v>
      </c>
      <c r="K35" s="2" t="s">
        <v>5</v>
      </c>
    </row>
    <row r="36" spans="1:11" ht="16" x14ac:dyDescent="0.2">
      <c r="A36" s="1" t="s">
        <v>1269</v>
      </c>
      <c r="B36" s="2" t="s">
        <v>5</v>
      </c>
      <c r="C36" s="2" t="s">
        <v>5</v>
      </c>
      <c r="D36" s="2" t="s">
        <v>5</v>
      </c>
      <c r="E36" s="2" t="s">
        <v>5</v>
      </c>
      <c r="F36" s="2" t="s">
        <v>5</v>
      </c>
      <c r="G36" s="2" t="s">
        <v>5</v>
      </c>
      <c r="H36" s="2" t="s">
        <v>5</v>
      </c>
      <c r="I36" s="2" t="s">
        <v>5</v>
      </c>
      <c r="J36" s="2" t="s">
        <v>5</v>
      </c>
      <c r="K36" s="2" t="s">
        <v>5</v>
      </c>
    </row>
    <row r="37" spans="1:11" ht="16" x14ac:dyDescent="0.2">
      <c r="A37" s="2" t="s">
        <v>1271</v>
      </c>
      <c r="B37" s="2" t="s">
        <v>5</v>
      </c>
      <c r="C37" s="2" t="s">
        <v>5</v>
      </c>
      <c r="D37" s="2" t="s">
        <v>5</v>
      </c>
      <c r="E37" s="2" t="s">
        <v>5</v>
      </c>
      <c r="F37" s="2" t="s">
        <v>5</v>
      </c>
      <c r="G37" s="2" t="s">
        <v>5</v>
      </c>
      <c r="H37" s="2" t="s">
        <v>5</v>
      </c>
      <c r="I37" s="2" t="s">
        <v>5</v>
      </c>
      <c r="J37" s="2" t="s">
        <v>5</v>
      </c>
      <c r="K37" s="4">
        <v>108000</v>
      </c>
    </row>
    <row r="38" spans="1:11" ht="16" x14ac:dyDescent="0.2">
      <c r="A38" s="2" t="s">
        <v>1292</v>
      </c>
      <c r="B38" s="2" t="s">
        <v>5</v>
      </c>
      <c r="C38" s="2" t="s">
        <v>5</v>
      </c>
      <c r="D38" s="2" t="s">
        <v>5</v>
      </c>
      <c r="E38" s="2" t="s">
        <v>5</v>
      </c>
      <c r="F38" s="2" t="s">
        <v>5</v>
      </c>
      <c r="G38" s="2" t="s">
        <v>5</v>
      </c>
      <c r="H38" s="2" t="s">
        <v>5</v>
      </c>
      <c r="I38" s="2" t="s">
        <v>5</v>
      </c>
      <c r="J38" s="2" t="s">
        <v>5</v>
      </c>
      <c r="K38" s="2" t="s">
        <v>5</v>
      </c>
    </row>
    <row r="39" spans="1:11" ht="16" x14ac:dyDescent="0.2">
      <c r="A39" s="1" t="s">
        <v>1269</v>
      </c>
      <c r="B39" s="2" t="s">
        <v>5</v>
      </c>
      <c r="C39" s="2" t="s">
        <v>5</v>
      </c>
      <c r="D39" s="2" t="s">
        <v>5</v>
      </c>
      <c r="E39" s="2" t="s">
        <v>5</v>
      </c>
      <c r="F39" s="2" t="s">
        <v>5</v>
      </c>
      <c r="G39" s="2" t="s">
        <v>5</v>
      </c>
      <c r="H39" s="2" t="s">
        <v>5</v>
      </c>
      <c r="I39" s="2" t="s">
        <v>5</v>
      </c>
      <c r="J39" s="2" t="s">
        <v>5</v>
      </c>
      <c r="K39" s="2" t="s">
        <v>5</v>
      </c>
    </row>
    <row r="40" spans="1:11" ht="16" x14ac:dyDescent="0.2">
      <c r="A40" s="2" t="s">
        <v>1282</v>
      </c>
      <c r="B40" s="2" t="s">
        <v>5</v>
      </c>
      <c r="C40" s="4">
        <v>2568112</v>
      </c>
      <c r="D40" s="2" t="s">
        <v>5</v>
      </c>
      <c r="E40" s="2" t="s">
        <v>5</v>
      </c>
      <c r="F40" s="4">
        <v>327523</v>
      </c>
      <c r="G40" s="4">
        <v>1804541</v>
      </c>
      <c r="H40" s="4">
        <v>980077</v>
      </c>
      <c r="I40" s="2" t="s">
        <v>5</v>
      </c>
      <c r="J40" s="2" t="s">
        <v>5</v>
      </c>
      <c r="K40" s="2" t="s">
        <v>5</v>
      </c>
    </row>
    <row r="41" spans="1:11" ht="16" x14ac:dyDescent="0.2">
      <c r="A41" s="2" t="s">
        <v>1285</v>
      </c>
      <c r="B41" s="2" t="s">
        <v>5</v>
      </c>
      <c r="C41" s="6">
        <v>157.69</v>
      </c>
      <c r="D41" s="2" t="s">
        <v>5</v>
      </c>
      <c r="E41" s="2" t="s">
        <v>5</v>
      </c>
      <c r="F41" s="6">
        <v>214.35</v>
      </c>
      <c r="G41" s="6">
        <v>217.48</v>
      </c>
      <c r="H41" s="6">
        <v>215.7</v>
      </c>
      <c r="I41" s="2" t="s">
        <v>5</v>
      </c>
      <c r="J41" s="2" t="s">
        <v>5</v>
      </c>
      <c r="K41" s="2" t="s">
        <v>5</v>
      </c>
    </row>
    <row r="42" spans="1:11" ht="16" x14ac:dyDescent="0.2">
      <c r="A42" s="2" t="s">
        <v>1293</v>
      </c>
      <c r="B42" s="2" t="s">
        <v>5</v>
      </c>
      <c r="C42" s="2" t="s">
        <v>5</v>
      </c>
      <c r="D42" s="2" t="s">
        <v>5</v>
      </c>
      <c r="E42" s="2" t="s">
        <v>5</v>
      </c>
      <c r="F42" s="2" t="s">
        <v>5</v>
      </c>
      <c r="G42" s="2" t="s">
        <v>5</v>
      </c>
      <c r="H42" s="2" t="s">
        <v>5</v>
      </c>
      <c r="I42" s="2" t="s">
        <v>5</v>
      </c>
      <c r="J42" s="2" t="s">
        <v>5</v>
      </c>
      <c r="K42" s="2" t="s">
        <v>5</v>
      </c>
    </row>
    <row r="43" spans="1:11" ht="16" x14ac:dyDescent="0.2">
      <c r="A43" s="1" t="s">
        <v>1269</v>
      </c>
      <c r="B43" s="2" t="s">
        <v>5</v>
      </c>
      <c r="C43" s="2" t="s">
        <v>5</v>
      </c>
      <c r="D43" s="2" t="s">
        <v>5</v>
      </c>
      <c r="E43" s="2" t="s">
        <v>5</v>
      </c>
      <c r="F43" s="2" t="s">
        <v>5</v>
      </c>
      <c r="G43" s="2" t="s">
        <v>5</v>
      </c>
      <c r="H43" s="2" t="s">
        <v>5</v>
      </c>
      <c r="I43" s="2" t="s">
        <v>5</v>
      </c>
      <c r="J43" s="2" t="s">
        <v>5</v>
      </c>
      <c r="K43" s="2" t="s">
        <v>5</v>
      </c>
    </row>
    <row r="44" spans="1:11" ht="16" x14ac:dyDescent="0.2">
      <c r="A44" s="2" t="s">
        <v>1278</v>
      </c>
      <c r="B44" s="2" t="s">
        <v>5</v>
      </c>
      <c r="C44" s="2" t="s">
        <v>5</v>
      </c>
      <c r="D44" s="2" t="s">
        <v>5</v>
      </c>
      <c r="E44" s="2" t="s">
        <v>5</v>
      </c>
      <c r="F44" s="2" t="s">
        <v>5</v>
      </c>
      <c r="G44" s="2" t="s">
        <v>5</v>
      </c>
      <c r="H44" s="2" t="s">
        <v>5</v>
      </c>
      <c r="I44" s="5">
        <v>31</v>
      </c>
      <c r="J44" s="2" t="s">
        <v>5</v>
      </c>
      <c r="K44" s="2" t="s">
        <v>5</v>
      </c>
    </row>
    <row r="45" spans="1:11" ht="16" x14ac:dyDescent="0.2">
      <c r="A45" s="2" t="s">
        <v>1279</v>
      </c>
      <c r="B45" s="2" t="s">
        <v>5</v>
      </c>
      <c r="C45" s="2" t="s">
        <v>5</v>
      </c>
      <c r="D45" s="2" t="s">
        <v>5</v>
      </c>
      <c r="E45" s="2" t="s">
        <v>5</v>
      </c>
      <c r="F45" s="2" t="s">
        <v>5</v>
      </c>
      <c r="G45" s="2" t="s">
        <v>5</v>
      </c>
      <c r="H45" s="2" t="s">
        <v>5</v>
      </c>
      <c r="I45" s="2" t="s">
        <v>1294</v>
      </c>
      <c r="J45" s="2" t="s">
        <v>5</v>
      </c>
      <c r="K45" s="2" t="s">
        <v>5</v>
      </c>
    </row>
    <row r="46" spans="1:11" ht="16" x14ac:dyDescent="0.2">
      <c r="A46" s="2" t="s">
        <v>1282</v>
      </c>
      <c r="B46" s="4">
        <v>199899</v>
      </c>
      <c r="C46" s="2" t="s">
        <v>5</v>
      </c>
      <c r="D46" s="2" t="s">
        <v>5</v>
      </c>
      <c r="E46" s="2" t="s">
        <v>5</v>
      </c>
      <c r="F46" s="2" t="s">
        <v>5</v>
      </c>
      <c r="G46" s="2" t="s">
        <v>5</v>
      </c>
      <c r="H46" s="2" t="s">
        <v>5</v>
      </c>
      <c r="I46" s="2" t="s">
        <v>5</v>
      </c>
      <c r="J46" s="2" t="s">
        <v>5</v>
      </c>
      <c r="K46" s="2" t="s">
        <v>5</v>
      </c>
    </row>
    <row r="47" spans="1:11" ht="16" x14ac:dyDescent="0.2">
      <c r="A47" s="2" t="s">
        <v>1285</v>
      </c>
      <c r="B47" s="6">
        <v>214.35</v>
      </c>
      <c r="C47" s="2" t="s">
        <v>5</v>
      </c>
      <c r="D47" s="2" t="s">
        <v>5</v>
      </c>
      <c r="E47" s="2" t="s">
        <v>5</v>
      </c>
      <c r="F47" s="2" t="s">
        <v>5</v>
      </c>
      <c r="G47" s="2" t="s">
        <v>5</v>
      </c>
      <c r="H47" s="2" t="s">
        <v>5</v>
      </c>
      <c r="I47" s="2" t="s">
        <v>5</v>
      </c>
      <c r="J47" s="2" t="s">
        <v>5</v>
      </c>
      <c r="K47" s="2" t="s">
        <v>5</v>
      </c>
    </row>
    <row r="48" spans="1:11" ht="16" x14ac:dyDescent="0.2">
      <c r="A48" s="2" t="s">
        <v>1295</v>
      </c>
      <c r="B48" s="2" t="s">
        <v>5</v>
      </c>
      <c r="C48" s="2" t="s">
        <v>5</v>
      </c>
      <c r="D48" s="2" t="s">
        <v>5</v>
      </c>
      <c r="E48" s="2" t="s">
        <v>5</v>
      </c>
      <c r="F48" s="2" t="s">
        <v>5</v>
      </c>
      <c r="G48" s="2" t="s">
        <v>5</v>
      </c>
      <c r="H48" s="2" t="s">
        <v>5</v>
      </c>
      <c r="I48" s="2" t="s">
        <v>5</v>
      </c>
      <c r="J48" s="2" t="s">
        <v>5</v>
      </c>
      <c r="K48" s="2" t="s">
        <v>5</v>
      </c>
    </row>
    <row r="49" spans="1:11" ht="16" x14ac:dyDescent="0.2">
      <c r="A49" s="1" t="s">
        <v>1269</v>
      </c>
      <c r="B49" s="2" t="s">
        <v>5</v>
      </c>
      <c r="C49" s="2" t="s">
        <v>5</v>
      </c>
      <c r="D49" s="2" t="s">
        <v>5</v>
      </c>
      <c r="E49" s="2" t="s">
        <v>5</v>
      </c>
      <c r="F49" s="2" t="s">
        <v>5</v>
      </c>
      <c r="G49" s="2" t="s">
        <v>5</v>
      </c>
      <c r="H49" s="2" t="s">
        <v>5</v>
      </c>
      <c r="I49" s="2" t="s">
        <v>5</v>
      </c>
      <c r="J49" s="2" t="s">
        <v>5</v>
      </c>
      <c r="K49" s="2" t="s">
        <v>5</v>
      </c>
    </row>
    <row r="50" spans="1:11" ht="32" x14ac:dyDescent="0.2">
      <c r="A50" s="2" t="s">
        <v>1296</v>
      </c>
      <c r="B50" s="8">
        <v>0</v>
      </c>
      <c r="C50" s="2" t="s">
        <v>5</v>
      </c>
      <c r="D50" s="2" t="s">
        <v>5</v>
      </c>
      <c r="E50" s="2" t="s">
        <v>5</v>
      </c>
      <c r="F50" s="2" t="s">
        <v>5</v>
      </c>
      <c r="G50" s="2" t="s">
        <v>5</v>
      </c>
      <c r="H50" s="2" t="s">
        <v>5</v>
      </c>
      <c r="I50" s="2" t="s">
        <v>5</v>
      </c>
      <c r="J50" s="2" t="s">
        <v>5</v>
      </c>
      <c r="K50" s="2" t="s">
        <v>5</v>
      </c>
    </row>
    <row r="51" spans="1:11" ht="16" x14ac:dyDescent="0.2">
      <c r="A51" s="2" t="s">
        <v>1297</v>
      </c>
      <c r="B51" s="2" t="s">
        <v>5</v>
      </c>
      <c r="C51" s="2" t="s">
        <v>5</v>
      </c>
      <c r="D51" s="2" t="s">
        <v>5</v>
      </c>
      <c r="E51" s="2" t="s">
        <v>5</v>
      </c>
      <c r="F51" s="2" t="s">
        <v>5</v>
      </c>
      <c r="G51" s="2" t="s">
        <v>5</v>
      </c>
      <c r="H51" s="2" t="s">
        <v>5</v>
      </c>
      <c r="I51" s="2" t="s">
        <v>5</v>
      </c>
      <c r="J51" s="2" t="s">
        <v>5</v>
      </c>
      <c r="K51" s="2" t="s">
        <v>5</v>
      </c>
    </row>
    <row r="52" spans="1:11" ht="16" x14ac:dyDescent="0.2">
      <c r="A52" s="1" t="s">
        <v>1269</v>
      </c>
      <c r="B52" s="2" t="s">
        <v>5</v>
      </c>
      <c r="C52" s="2" t="s">
        <v>5</v>
      </c>
      <c r="D52" s="2" t="s">
        <v>5</v>
      </c>
      <c r="E52" s="2" t="s">
        <v>5</v>
      </c>
      <c r="F52" s="2" t="s">
        <v>5</v>
      </c>
      <c r="G52" s="2" t="s">
        <v>5</v>
      </c>
      <c r="H52" s="2" t="s">
        <v>5</v>
      </c>
      <c r="I52" s="2" t="s">
        <v>5</v>
      </c>
      <c r="J52" s="2" t="s">
        <v>5</v>
      </c>
      <c r="K52" s="2" t="s">
        <v>5</v>
      </c>
    </row>
    <row r="53" spans="1:11" ht="32" x14ac:dyDescent="0.2">
      <c r="A53" s="2" t="s">
        <v>1296</v>
      </c>
      <c r="B53" s="8">
        <v>2</v>
      </c>
      <c r="C53" s="2" t="s">
        <v>5</v>
      </c>
      <c r="D53" s="2" t="s">
        <v>5</v>
      </c>
      <c r="E53" s="2" t="s">
        <v>5</v>
      </c>
      <c r="F53" s="2" t="s">
        <v>5</v>
      </c>
      <c r="G53" s="2" t="s">
        <v>5</v>
      </c>
      <c r="H53" s="2" t="s">
        <v>5</v>
      </c>
      <c r="I53" s="2" t="s">
        <v>5</v>
      </c>
      <c r="J53" s="2" t="s">
        <v>5</v>
      </c>
      <c r="K53" s="2" t="s">
        <v>5</v>
      </c>
    </row>
    <row r="54" spans="1:11" ht="16" x14ac:dyDescent="0.2">
      <c r="A54" s="2" t="s">
        <v>1298</v>
      </c>
      <c r="B54" s="2" t="s">
        <v>5</v>
      </c>
      <c r="C54" s="2" t="s">
        <v>5</v>
      </c>
      <c r="D54" s="2" t="s">
        <v>5</v>
      </c>
      <c r="E54" s="2" t="s">
        <v>5</v>
      </c>
      <c r="F54" s="2" t="s">
        <v>5</v>
      </c>
      <c r="G54" s="2" t="s">
        <v>5</v>
      </c>
      <c r="H54" s="2" t="s">
        <v>5</v>
      </c>
      <c r="I54" s="2" t="s">
        <v>5</v>
      </c>
      <c r="J54" s="2" t="s">
        <v>5</v>
      </c>
      <c r="K54" s="2" t="s">
        <v>5</v>
      </c>
    </row>
    <row r="55" spans="1:11" ht="16" x14ac:dyDescent="0.2">
      <c r="A55" s="1" t="s">
        <v>1269</v>
      </c>
      <c r="B55" s="2" t="s">
        <v>5</v>
      </c>
      <c r="C55" s="2" t="s">
        <v>5</v>
      </c>
      <c r="D55" s="2" t="s">
        <v>5</v>
      </c>
      <c r="E55" s="2" t="s">
        <v>5</v>
      </c>
      <c r="F55" s="2" t="s">
        <v>5</v>
      </c>
      <c r="G55" s="2" t="s">
        <v>5</v>
      </c>
      <c r="H55" s="2" t="s">
        <v>5</v>
      </c>
      <c r="I55" s="2" t="s">
        <v>5</v>
      </c>
      <c r="J55" s="2" t="s">
        <v>5</v>
      </c>
      <c r="K55" s="2" t="s">
        <v>5</v>
      </c>
    </row>
    <row r="56" spans="1:11" ht="16" x14ac:dyDescent="0.2">
      <c r="A56" s="2" t="s">
        <v>1283</v>
      </c>
      <c r="B56" s="2" t="s">
        <v>5</v>
      </c>
      <c r="C56" s="2" t="s">
        <v>5</v>
      </c>
      <c r="D56" s="2" t="s">
        <v>5</v>
      </c>
      <c r="E56" s="2" t="s">
        <v>5</v>
      </c>
      <c r="F56" s="2" t="s">
        <v>5</v>
      </c>
      <c r="G56" s="2" t="s">
        <v>5</v>
      </c>
      <c r="H56" s="2" t="s">
        <v>5</v>
      </c>
      <c r="I56" s="2" t="s">
        <v>621</v>
      </c>
      <c r="J56" s="2" t="s">
        <v>5</v>
      </c>
      <c r="K56" s="2" t="s">
        <v>5</v>
      </c>
    </row>
    <row r="57" spans="1:11" ht="16" x14ac:dyDescent="0.2">
      <c r="A57" s="2" t="s">
        <v>1299</v>
      </c>
      <c r="B57" s="2" t="s">
        <v>5</v>
      </c>
      <c r="C57" s="2" t="s">
        <v>5</v>
      </c>
      <c r="D57" s="2" t="s">
        <v>5</v>
      </c>
      <c r="E57" s="2" t="s">
        <v>5</v>
      </c>
      <c r="F57" s="2" t="s">
        <v>5</v>
      </c>
      <c r="G57" s="2" t="s">
        <v>5</v>
      </c>
      <c r="H57" s="2" t="s">
        <v>5</v>
      </c>
      <c r="I57" s="2" t="s">
        <v>5</v>
      </c>
      <c r="J57" s="2" t="s">
        <v>5</v>
      </c>
      <c r="K57" s="2" t="s">
        <v>5</v>
      </c>
    </row>
    <row r="58" spans="1:11" ht="16" x14ac:dyDescent="0.2">
      <c r="A58" s="1" t="s">
        <v>1269</v>
      </c>
      <c r="B58" s="2" t="s">
        <v>5</v>
      </c>
      <c r="C58" s="2" t="s">
        <v>5</v>
      </c>
      <c r="D58" s="2" t="s">
        <v>5</v>
      </c>
      <c r="E58" s="2" t="s">
        <v>5</v>
      </c>
      <c r="F58" s="2" t="s">
        <v>5</v>
      </c>
      <c r="G58" s="2" t="s">
        <v>5</v>
      </c>
      <c r="H58" s="2" t="s">
        <v>5</v>
      </c>
      <c r="I58" s="2" t="s">
        <v>5</v>
      </c>
      <c r="J58" s="2" t="s">
        <v>5</v>
      </c>
      <c r="K58" s="2" t="s">
        <v>5</v>
      </c>
    </row>
    <row r="59" spans="1:11" ht="16" x14ac:dyDescent="0.2">
      <c r="A59" s="2" t="s">
        <v>1300</v>
      </c>
      <c r="B59" s="2" t="s">
        <v>5</v>
      </c>
      <c r="C59" s="2" t="s">
        <v>5</v>
      </c>
      <c r="D59" s="2" t="s">
        <v>5</v>
      </c>
      <c r="E59" s="2" t="s">
        <v>5</v>
      </c>
      <c r="F59" s="2" t="s">
        <v>5</v>
      </c>
      <c r="G59" s="2" t="s">
        <v>5</v>
      </c>
      <c r="H59" s="2" t="s">
        <v>5</v>
      </c>
      <c r="I59" s="8">
        <v>0</v>
      </c>
      <c r="J59" s="2" t="s">
        <v>5</v>
      </c>
      <c r="K59" s="2" t="s">
        <v>5</v>
      </c>
    </row>
    <row r="60" spans="1:11" ht="16" x14ac:dyDescent="0.2">
      <c r="A60" s="2" t="s">
        <v>1301</v>
      </c>
      <c r="B60" s="2" t="s">
        <v>5</v>
      </c>
      <c r="C60" s="2" t="s">
        <v>5</v>
      </c>
      <c r="D60" s="2" t="s">
        <v>5</v>
      </c>
      <c r="E60" s="2" t="s">
        <v>5</v>
      </c>
      <c r="F60" s="2" t="s">
        <v>5</v>
      </c>
      <c r="G60" s="2" t="s">
        <v>5</v>
      </c>
      <c r="H60" s="2" t="s">
        <v>5</v>
      </c>
      <c r="I60" s="2" t="s">
        <v>5</v>
      </c>
      <c r="J60" s="2" t="s">
        <v>5</v>
      </c>
      <c r="K60" s="2" t="s">
        <v>5</v>
      </c>
    </row>
    <row r="61" spans="1:11" ht="16" x14ac:dyDescent="0.2">
      <c r="A61" s="1" t="s">
        <v>1269</v>
      </c>
      <c r="B61" s="2" t="s">
        <v>5</v>
      </c>
      <c r="C61" s="2" t="s">
        <v>5</v>
      </c>
      <c r="D61" s="2" t="s">
        <v>5</v>
      </c>
      <c r="E61" s="2" t="s">
        <v>5</v>
      </c>
      <c r="F61" s="2" t="s">
        <v>5</v>
      </c>
      <c r="G61" s="2" t="s">
        <v>5</v>
      </c>
      <c r="H61" s="2" t="s">
        <v>5</v>
      </c>
      <c r="I61" s="2" t="s">
        <v>5</v>
      </c>
      <c r="J61" s="2" t="s">
        <v>5</v>
      </c>
      <c r="K61" s="2" t="s">
        <v>5</v>
      </c>
    </row>
    <row r="62" spans="1:11" ht="16" x14ac:dyDescent="0.2">
      <c r="A62" s="2" t="s">
        <v>1300</v>
      </c>
      <c r="B62" s="2" t="s">
        <v>5</v>
      </c>
      <c r="C62" s="2" t="s">
        <v>5</v>
      </c>
      <c r="D62" s="2" t="s">
        <v>5</v>
      </c>
      <c r="E62" s="2" t="s">
        <v>5</v>
      </c>
      <c r="F62" s="2" t="s">
        <v>5</v>
      </c>
      <c r="G62" s="2" t="s">
        <v>5</v>
      </c>
      <c r="H62" s="2" t="s">
        <v>5</v>
      </c>
      <c r="I62" s="8">
        <v>0</v>
      </c>
      <c r="J62" s="2" t="s">
        <v>5</v>
      </c>
      <c r="K62" s="2" t="s">
        <v>5</v>
      </c>
    </row>
    <row r="63" spans="1:11" ht="16" x14ac:dyDescent="0.2">
      <c r="A63" s="2" t="s">
        <v>1302</v>
      </c>
      <c r="B63" s="2" t="s">
        <v>5</v>
      </c>
      <c r="C63" s="2" t="s">
        <v>5</v>
      </c>
      <c r="D63" s="2" t="s">
        <v>5</v>
      </c>
      <c r="E63" s="2" t="s">
        <v>5</v>
      </c>
      <c r="F63" s="2" t="s">
        <v>5</v>
      </c>
      <c r="G63" s="2" t="s">
        <v>5</v>
      </c>
      <c r="H63" s="2" t="s">
        <v>5</v>
      </c>
      <c r="I63" s="2" t="s">
        <v>5</v>
      </c>
      <c r="J63" s="2" t="s">
        <v>5</v>
      </c>
      <c r="K63" s="2" t="s">
        <v>5</v>
      </c>
    </row>
    <row r="64" spans="1:11" ht="16" x14ac:dyDescent="0.2">
      <c r="A64" s="1" t="s">
        <v>1269</v>
      </c>
      <c r="B64" s="2" t="s">
        <v>5</v>
      </c>
      <c r="C64" s="2" t="s">
        <v>5</v>
      </c>
      <c r="D64" s="2" t="s">
        <v>5</v>
      </c>
      <c r="E64" s="2" t="s">
        <v>5</v>
      </c>
      <c r="F64" s="2" t="s">
        <v>5</v>
      </c>
      <c r="G64" s="2" t="s">
        <v>5</v>
      </c>
      <c r="H64" s="2" t="s">
        <v>5</v>
      </c>
      <c r="I64" s="2" t="s">
        <v>5</v>
      </c>
      <c r="J64" s="2" t="s">
        <v>5</v>
      </c>
      <c r="K64" s="2" t="s">
        <v>5</v>
      </c>
    </row>
    <row r="65" spans="1:11" ht="16" x14ac:dyDescent="0.2">
      <c r="A65" s="2" t="s">
        <v>1300</v>
      </c>
      <c r="B65" s="2" t="s">
        <v>5</v>
      </c>
      <c r="C65" s="2" t="s">
        <v>5</v>
      </c>
      <c r="D65" s="2" t="s">
        <v>5</v>
      </c>
      <c r="E65" s="2" t="s">
        <v>5</v>
      </c>
      <c r="F65" s="2" t="s">
        <v>5</v>
      </c>
      <c r="G65" s="2" t="s">
        <v>5</v>
      </c>
      <c r="H65" s="2" t="s">
        <v>5</v>
      </c>
      <c r="I65" s="8">
        <v>2</v>
      </c>
      <c r="J65" s="2" t="s">
        <v>5</v>
      </c>
      <c r="K65" s="2" t="s">
        <v>5</v>
      </c>
    </row>
    <row r="66" spans="1:11" ht="16" x14ac:dyDescent="0.2">
      <c r="A66" s="2" t="s">
        <v>1303</v>
      </c>
      <c r="B66" s="2" t="s">
        <v>5</v>
      </c>
      <c r="C66" s="2" t="s">
        <v>5</v>
      </c>
      <c r="D66" s="2" t="s">
        <v>5</v>
      </c>
      <c r="E66" s="2" t="s">
        <v>5</v>
      </c>
      <c r="F66" s="2" t="s">
        <v>5</v>
      </c>
      <c r="G66" s="2" t="s">
        <v>5</v>
      </c>
      <c r="H66" s="2" t="s">
        <v>5</v>
      </c>
      <c r="I66" s="2" t="s">
        <v>5</v>
      </c>
      <c r="J66" s="2" t="s">
        <v>5</v>
      </c>
      <c r="K66" s="2" t="s">
        <v>5</v>
      </c>
    </row>
    <row r="67" spans="1:11" ht="16" x14ac:dyDescent="0.2">
      <c r="A67" s="1" t="s">
        <v>1269</v>
      </c>
      <c r="B67" s="2" t="s">
        <v>5</v>
      </c>
      <c r="C67" s="2" t="s">
        <v>5</v>
      </c>
      <c r="D67" s="2" t="s">
        <v>5</v>
      </c>
      <c r="E67" s="2" t="s">
        <v>5</v>
      </c>
      <c r="F67" s="2" t="s">
        <v>5</v>
      </c>
      <c r="G67" s="2" t="s">
        <v>5</v>
      </c>
      <c r="H67" s="2" t="s">
        <v>5</v>
      </c>
      <c r="I67" s="2" t="s">
        <v>5</v>
      </c>
      <c r="J67" s="2" t="s">
        <v>5</v>
      </c>
      <c r="K67" s="2" t="s">
        <v>5</v>
      </c>
    </row>
    <row r="68" spans="1:11" ht="16" x14ac:dyDescent="0.2">
      <c r="A68" s="2" t="s">
        <v>1300</v>
      </c>
      <c r="B68" s="2" t="s">
        <v>5</v>
      </c>
      <c r="C68" s="2" t="s">
        <v>5</v>
      </c>
      <c r="D68" s="2" t="s">
        <v>5</v>
      </c>
      <c r="E68" s="2" t="s">
        <v>5</v>
      </c>
      <c r="F68" s="2" t="s">
        <v>5</v>
      </c>
      <c r="G68" s="2" t="s">
        <v>5</v>
      </c>
      <c r="H68" s="2" t="s">
        <v>5</v>
      </c>
      <c r="I68" s="8">
        <v>0</v>
      </c>
      <c r="J68" s="2" t="s">
        <v>5</v>
      </c>
      <c r="K68" s="2" t="s">
        <v>5</v>
      </c>
    </row>
    <row r="69" spans="1:11" ht="16" x14ac:dyDescent="0.2">
      <c r="A69" s="2" t="s">
        <v>1304</v>
      </c>
      <c r="B69" s="2" t="s">
        <v>5</v>
      </c>
      <c r="C69" s="2" t="s">
        <v>5</v>
      </c>
      <c r="D69" s="2" t="s">
        <v>5</v>
      </c>
      <c r="E69" s="2" t="s">
        <v>5</v>
      </c>
      <c r="F69" s="2" t="s">
        <v>5</v>
      </c>
      <c r="G69" s="2" t="s">
        <v>5</v>
      </c>
      <c r="H69" s="2" t="s">
        <v>5</v>
      </c>
      <c r="I69" s="2" t="s">
        <v>5</v>
      </c>
      <c r="J69" s="2" t="s">
        <v>5</v>
      </c>
      <c r="K69" s="2" t="s">
        <v>5</v>
      </c>
    </row>
    <row r="70" spans="1:11" ht="16" x14ac:dyDescent="0.2">
      <c r="A70" s="1" t="s">
        <v>1269</v>
      </c>
      <c r="B70" s="2" t="s">
        <v>5</v>
      </c>
      <c r="C70" s="2" t="s">
        <v>5</v>
      </c>
      <c r="D70" s="2" t="s">
        <v>5</v>
      </c>
      <c r="E70" s="2" t="s">
        <v>5</v>
      </c>
      <c r="F70" s="2" t="s">
        <v>5</v>
      </c>
      <c r="G70" s="2" t="s">
        <v>5</v>
      </c>
      <c r="H70" s="2" t="s">
        <v>5</v>
      </c>
      <c r="I70" s="2" t="s">
        <v>5</v>
      </c>
      <c r="J70" s="2" t="s">
        <v>5</v>
      </c>
      <c r="K70" s="2" t="s">
        <v>5</v>
      </c>
    </row>
    <row r="71" spans="1:11" ht="16" x14ac:dyDescent="0.2">
      <c r="A71" s="2" t="s">
        <v>1300</v>
      </c>
      <c r="B71" s="2" t="s">
        <v>5</v>
      </c>
      <c r="C71" s="2" t="s">
        <v>5</v>
      </c>
      <c r="D71" s="2" t="s">
        <v>5</v>
      </c>
      <c r="E71" s="2" t="s">
        <v>5</v>
      </c>
      <c r="F71" s="2" t="s">
        <v>5</v>
      </c>
      <c r="G71" s="2" t="s">
        <v>5</v>
      </c>
      <c r="H71" s="2" t="s">
        <v>5</v>
      </c>
      <c r="I71" s="8">
        <v>2</v>
      </c>
      <c r="J71" s="2" t="s">
        <v>5</v>
      </c>
      <c r="K71" s="2" t="s">
        <v>5</v>
      </c>
    </row>
    <row r="72" spans="1:11" ht="16" x14ac:dyDescent="0.2">
      <c r="A72" s="2" t="s">
        <v>1305</v>
      </c>
      <c r="B72" s="2" t="s">
        <v>5</v>
      </c>
      <c r="C72" s="2" t="s">
        <v>5</v>
      </c>
      <c r="D72" s="2" t="s">
        <v>5</v>
      </c>
      <c r="E72" s="2" t="s">
        <v>5</v>
      </c>
      <c r="F72" s="2" t="s">
        <v>5</v>
      </c>
      <c r="G72" s="2" t="s">
        <v>5</v>
      </c>
      <c r="H72" s="2" t="s">
        <v>5</v>
      </c>
      <c r="I72" s="2" t="s">
        <v>5</v>
      </c>
      <c r="J72" s="2" t="s">
        <v>5</v>
      </c>
      <c r="K72" s="2" t="s">
        <v>5</v>
      </c>
    </row>
    <row r="73" spans="1:11" ht="16" x14ac:dyDescent="0.2">
      <c r="A73" s="1" t="s">
        <v>1269</v>
      </c>
      <c r="B73" s="2" t="s">
        <v>5</v>
      </c>
      <c r="C73" s="2" t="s">
        <v>5</v>
      </c>
      <c r="D73" s="2" t="s">
        <v>5</v>
      </c>
      <c r="E73" s="2" t="s">
        <v>5</v>
      </c>
      <c r="F73" s="2" t="s">
        <v>5</v>
      </c>
      <c r="G73" s="2" t="s">
        <v>5</v>
      </c>
      <c r="H73" s="2" t="s">
        <v>5</v>
      </c>
      <c r="I73" s="2" t="s">
        <v>5</v>
      </c>
      <c r="J73" s="2" t="s">
        <v>5</v>
      </c>
      <c r="K73" s="2" t="s">
        <v>5</v>
      </c>
    </row>
    <row r="74" spans="1:11" ht="16" x14ac:dyDescent="0.2">
      <c r="A74" s="2" t="s">
        <v>1270</v>
      </c>
      <c r="B74" s="2" t="s">
        <v>5</v>
      </c>
      <c r="C74" s="2" t="s">
        <v>5</v>
      </c>
      <c r="D74" s="2" t="s">
        <v>5</v>
      </c>
      <c r="E74" s="2" t="s">
        <v>5</v>
      </c>
      <c r="F74" s="2" t="s">
        <v>5</v>
      </c>
      <c r="G74" s="2" t="s">
        <v>5</v>
      </c>
      <c r="H74" s="2" t="s">
        <v>5</v>
      </c>
      <c r="I74" s="4">
        <v>12000000</v>
      </c>
      <c r="J74" s="2" t="s">
        <v>5</v>
      </c>
      <c r="K74" s="2" t="s">
        <v>5</v>
      </c>
    </row>
    <row r="75" spans="1:11" ht="32" x14ac:dyDescent="0.2">
      <c r="A75" s="2" t="s">
        <v>1287</v>
      </c>
      <c r="B75" s="2" t="s">
        <v>5</v>
      </c>
      <c r="C75" s="2" t="s">
        <v>5</v>
      </c>
      <c r="D75" s="2" t="s">
        <v>5</v>
      </c>
      <c r="E75" s="2" t="s">
        <v>5</v>
      </c>
      <c r="F75" s="2" t="s">
        <v>5</v>
      </c>
      <c r="G75" s="2" t="s">
        <v>5</v>
      </c>
      <c r="H75" s="2" t="s">
        <v>5</v>
      </c>
      <c r="I75" s="8">
        <v>0.95</v>
      </c>
      <c r="J75" s="2" t="s">
        <v>5</v>
      </c>
      <c r="K75" s="2" t="s">
        <v>5</v>
      </c>
    </row>
    <row r="76" spans="1:11" ht="16" x14ac:dyDescent="0.2">
      <c r="A76" s="2" t="s">
        <v>1306</v>
      </c>
      <c r="B76" s="2" t="s">
        <v>5</v>
      </c>
      <c r="C76" s="2" t="s">
        <v>5</v>
      </c>
      <c r="D76" s="2" t="s">
        <v>5</v>
      </c>
      <c r="E76" s="2" t="s">
        <v>5</v>
      </c>
      <c r="F76" s="2" t="s">
        <v>5</v>
      </c>
      <c r="G76" s="2" t="s">
        <v>5</v>
      </c>
      <c r="H76" s="2" t="s">
        <v>5</v>
      </c>
      <c r="I76" s="2" t="s">
        <v>1307</v>
      </c>
      <c r="J76" s="2" t="s">
        <v>5</v>
      </c>
      <c r="K76" s="2" t="s">
        <v>5</v>
      </c>
    </row>
    <row r="77" spans="1:11" ht="32" x14ac:dyDescent="0.2">
      <c r="A77" s="2" t="s">
        <v>1308</v>
      </c>
      <c r="B77" s="2" t="s">
        <v>5</v>
      </c>
      <c r="C77" s="2" t="s">
        <v>5</v>
      </c>
      <c r="D77" s="2" t="s">
        <v>5</v>
      </c>
      <c r="E77" s="2" t="s">
        <v>5</v>
      </c>
      <c r="F77" s="2" t="s">
        <v>5</v>
      </c>
      <c r="G77" s="2" t="s">
        <v>5</v>
      </c>
      <c r="H77" s="2" t="s">
        <v>5</v>
      </c>
      <c r="I77" s="4">
        <v>216719</v>
      </c>
      <c r="J77" s="2" t="s">
        <v>5</v>
      </c>
      <c r="K77" s="2" t="s">
        <v>5</v>
      </c>
    </row>
    <row r="78" spans="1:11" ht="32" x14ac:dyDescent="0.2">
      <c r="A78" s="2" t="s">
        <v>1309</v>
      </c>
      <c r="B78" s="2" t="s">
        <v>5</v>
      </c>
      <c r="C78" s="2" t="s">
        <v>5</v>
      </c>
      <c r="D78" s="2" t="s">
        <v>5</v>
      </c>
      <c r="E78" s="2" t="s">
        <v>5</v>
      </c>
      <c r="F78" s="2" t="s">
        <v>5</v>
      </c>
      <c r="G78" s="2" t="s">
        <v>5</v>
      </c>
      <c r="H78" s="2" t="s">
        <v>5</v>
      </c>
      <c r="I78" s="6">
        <v>193.52</v>
      </c>
      <c r="J78" s="2" t="s">
        <v>5</v>
      </c>
      <c r="K78" s="2" t="s">
        <v>5</v>
      </c>
    </row>
  </sheetData>
  <mergeCells count="3">
    <mergeCell ref="A1:A2"/>
    <mergeCell ref="F1:H1"/>
    <mergeCell ref="I1:K1"/>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D5"/>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1310</v>
      </c>
      <c r="B1" s="61" t="s">
        <v>1</v>
      </c>
      <c r="C1" s="60"/>
      <c r="D1" s="60"/>
    </row>
    <row r="2" spans="1:4" ht="16" x14ac:dyDescent="0.2">
      <c r="A2" s="60"/>
      <c r="B2" s="12" t="s">
        <v>2</v>
      </c>
      <c r="C2" s="12" t="s">
        <v>75</v>
      </c>
      <c r="D2" s="12" t="s">
        <v>76</v>
      </c>
    </row>
    <row r="3" spans="1:4" ht="16" x14ac:dyDescent="0.2">
      <c r="A3" s="1" t="s">
        <v>373</v>
      </c>
      <c r="B3" s="2" t="s">
        <v>5</v>
      </c>
      <c r="C3" s="2" t="s">
        <v>5</v>
      </c>
      <c r="D3" s="2" t="s">
        <v>5</v>
      </c>
    </row>
    <row r="4" spans="1:4" ht="16" x14ac:dyDescent="0.2">
      <c r="A4" s="2" t="s">
        <v>1311</v>
      </c>
      <c r="B4" s="5">
        <v>697</v>
      </c>
      <c r="C4" s="5">
        <v>726</v>
      </c>
      <c r="D4" s="5">
        <v>840</v>
      </c>
    </row>
    <row r="5" spans="1:4" ht="16" x14ac:dyDescent="0.2">
      <c r="A5" s="2" t="s">
        <v>1312</v>
      </c>
      <c r="B5" s="5">
        <v>157</v>
      </c>
      <c r="C5" s="5">
        <v>178</v>
      </c>
      <c r="D5" s="5">
        <v>148</v>
      </c>
    </row>
  </sheetData>
  <mergeCells count="2">
    <mergeCell ref="A1:A2"/>
    <mergeCell ref="B1:D1"/>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7"/>
  <sheetViews>
    <sheetView workbookViewId="0"/>
  </sheetViews>
  <sheetFormatPr baseColWidth="10" defaultColWidth="8.83203125" defaultRowHeight="15" x14ac:dyDescent="0.2"/>
  <cols>
    <col min="1" max="1" width="80" customWidth="1"/>
    <col min="2" max="2" width="25" customWidth="1"/>
    <col min="3" max="3" width="24" customWidth="1"/>
  </cols>
  <sheetData>
    <row r="1" spans="1:3" x14ac:dyDescent="0.2">
      <c r="A1" s="59" t="s">
        <v>1313</v>
      </c>
      <c r="B1" s="61" t="s">
        <v>1</v>
      </c>
      <c r="C1" s="60"/>
    </row>
    <row r="2" spans="1:3" ht="16" x14ac:dyDescent="0.2">
      <c r="A2" s="60"/>
      <c r="B2" s="12" t="s">
        <v>75</v>
      </c>
      <c r="C2" s="12" t="s">
        <v>76</v>
      </c>
    </row>
    <row r="3" spans="1:3" ht="16" x14ac:dyDescent="0.2">
      <c r="A3" s="1" t="s">
        <v>1269</v>
      </c>
      <c r="B3" s="2" t="s">
        <v>5</v>
      </c>
      <c r="C3" s="2" t="s">
        <v>5</v>
      </c>
    </row>
    <row r="4" spans="1:3" ht="16" x14ac:dyDescent="0.2">
      <c r="A4" s="2" t="s">
        <v>1314</v>
      </c>
      <c r="B4" s="2" t="s">
        <v>1315</v>
      </c>
      <c r="C4" s="2" t="s">
        <v>1316</v>
      </c>
    </row>
    <row r="5" spans="1:3" ht="16" x14ac:dyDescent="0.2">
      <c r="A5" s="2" t="s">
        <v>1317</v>
      </c>
      <c r="B5" s="9">
        <v>0.36599999999999999</v>
      </c>
      <c r="C5" s="9">
        <v>0.378</v>
      </c>
    </row>
    <row r="6" spans="1:3" ht="16" x14ac:dyDescent="0.2">
      <c r="A6" s="2" t="s">
        <v>1318</v>
      </c>
      <c r="B6" s="8">
        <v>0.02</v>
      </c>
      <c r="C6" s="9">
        <v>1.2999999999999999E-2</v>
      </c>
    </row>
    <row r="7" spans="1:3" ht="16" x14ac:dyDescent="0.2">
      <c r="A7" s="2" t="s">
        <v>1319</v>
      </c>
      <c r="B7" s="6">
        <v>83.04</v>
      </c>
      <c r="C7" s="6">
        <v>74.63</v>
      </c>
    </row>
  </sheetData>
  <mergeCells count="2">
    <mergeCell ref="A1:A2"/>
    <mergeCell ref="B1:C1"/>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B21"/>
  <sheetViews>
    <sheetView workbookViewId="0"/>
  </sheetViews>
  <sheetFormatPr baseColWidth="10" defaultColWidth="8.83203125" defaultRowHeight="15" x14ac:dyDescent="0.2"/>
  <cols>
    <col min="1" max="1" width="80" customWidth="1"/>
    <col min="2" max="2" width="40" customWidth="1"/>
  </cols>
  <sheetData>
    <row r="1" spans="1:2" ht="16" x14ac:dyDescent="0.2">
      <c r="A1" s="59" t="s">
        <v>1320</v>
      </c>
      <c r="B1" s="12" t="s">
        <v>1</v>
      </c>
    </row>
    <row r="2" spans="1:2" ht="16" x14ac:dyDescent="0.2">
      <c r="A2" s="60"/>
      <c r="B2" s="12" t="s">
        <v>1321</v>
      </c>
    </row>
    <row r="3" spans="1:2" ht="32" x14ac:dyDescent="0.2">
      <c r="A3" s="1" t="s">
        <v>1322</v>
      </c>
      <c r="B3" s="2" t="s">
        <v>5</v>
      </c>
    </row>
    <row r="4" spans="1:2" ht="16" x14ac:dyDescent="0.2">
      <c r="A4" s="2" t="s">
        <v>1323</v>
      </c>
      <c r="B4" s="4">
        <v>1390769</v>
      </c>
    </row>
    <row r="5" spans="1:2" ht="16" x14ac:dyDescent="0.2">
      <c r="A5" s="2" t="s">
        <v>1324</v>
      </c>
      <c r="B5" s="4">
        <v>30000</v>
      </c>
    </row>
    <row r="6" spans="1:2" ht="16" x14ac:dyDescent="0.2">
      <c r="A6" s="2" t="s">
        <v>1325</v>
      </c>
      <c r="B6" s="4">
        <v>-597030</v>
      </c>
    </row>
    <row r="7" spans="1:2" ht="16" x14ac:dyDescent="0.2">
      <c r="A7" s="2" t="s">
        <v>1326</v>
      </c>
      <c r="B7" s="4">
        <v>-31077</v>
      </c>
    </row>
    <row r="8" spans="1:2" ht="16" x14ac:dyDescent="0.2">
      <c r="A8" s="2" t="s">
        <v>1327</v>
      </c>
      <c r="B8" s="4">
        <v>792662</v>
      </c>
    </row>
    <row r="9" spans="1:2" ht="32" x14ac:dyDescent="0.2">
      <c r="A9" s="1" t="s">
        <v>1328</v>
      </c>
      <c r="B9" s="2" t="s">
        <v>5</v>
      </c>
    </row>
    <row r="10" spans="1:2" ht="16" x14ac:dyDescent="0.2">
      <c r="A10" s="2" t="s">
        <v>1329</v>
      </c>
      <c r="B10" s="6">
        <v>178.18</v>
      </c>
    </row>
    <row r="11" spans="1:2" ht="16" x14ac:dyDescent="0.2">
      <c r="A11" s="2" t="s">
        <v>1330</v>
      </c>
      <c r="B11" s="10">
        <v>210.68</v>
      </c>
    </row>
    <row r="12" spans="1:2" ht="16" x14ac:dyDescent="0.2">
      <c r="A12" s="2" t="s">
        <v>1331</v>
      </c>
      <c r="B12" s="10">
        <v>77.06</v>
      </c>
    </row>
    <row r="13" spans="1:2" ht="16" x14ac:dyDescent="0.2">
      <c r="A13" s="2" t="s">
        <v>1332</v>
      </c>
      <c r="B13" s="10">
        <v>260.26</v>
      </c>
    </row>
    <row r="14" spans="1:2" ht="16" x14ac:dyDescent="0.2">
      <c r="A14" s="2" t="s">
        <v>1333</v>
      </c>
      <c r="B14" s="6">
        <v>252.35</v>
      </c>
    </row>
    <row r="15" spans="1:2" ht="32" x14ac:dyDescent="0.2">
      <c r="A15" s="1" t="s">
        <v>1334</v>
      </c>
      <c r="B15" s="2" t="s">
        <v>5</v>
      </c>
    </row>
    <row r="16" spans="1:2" ht="16" x14ac:dyDescent="0.2">
      <c r="A16" s="2" t="s">
        <v>1335</v>
      </c>
      <c r="B16" s="2" t="s">
        <v>1336</v>
      </c>
    </row>
    <row r="17" spans="1:2" ht="16" x14ac:dyDescent="0.2">
      <c r="A17" s="2" t="s">
        <v>1337</v>
      </c>
      <c r="B17" s="5">
        <v>7</v>
      </c>
    </row>
    <row r="18" spans="1:2" ht="16" x14ac:dyDescent="0.2">
      <c r="A18" s="2" t="s">
        <v>1338</v>
      </c>
      <c r="B18" s="4">
        <v>7953</v>
      </c>
    </row>
    <row r="19" spans="1:2" ht="16" x14ac:dyDescent="0.2">
      <c r="A19" s="2" t="s">
        <v>1339</v>
      </c>
      <c r="B19" s="6">
        <v>197.07</v>
      </c>
    </row>
    <row r="20" spans="1:2" ht="16" x14ac:dyDescent="0.2">
      <c r="A20" s="2" t="s">
        <v>1340</v>
      </c>
      <c r="B20" s="2" t="s">
        <v>1341</v>
      </c>
    </row>
    <row r="21" spans="1:2" ht="16" x14ac:dyDescent="0.2">
      <c r="A21" s="2" t="s">
        <v>1342</v>
      </c>
      <c r="B21" s="5">
        <v>1</v>
      </c>
    </row>
  </sheetData>
  <mergeCells count="1">
    <mergeCell ref="A1:A2"/>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B31"/>
  <sheetViews>
    <sheetView workbookViewId="0"/>
  </sheetViews>
  <sheetFormatPr baseColWidth="10" defaultColWidth="8.83203125" defaultRowHeight="15" x14ac:dyDescent="0.2"/>
  <cols>
    <col min="1" max="1" width="80" customWidth="1"/>
    <col min="2" max="2" width="29" customWidth="1"/>
  </cols>
  <sheetData>
    <row r="1" spans="1:2" ht="16" x14ac:dyDescent="0.2">
      <c r="A1" s="59" t="s">
        <v>1343</v>
      </c>
      <c r="B1" s="12" t="s">
        <v>1</v>
      </c>
    </row>
    <row r="2" spans="1:2" ht="16" x14ac:dyDescent="0.2">
      <c r="A2" s="60"/>
      <c r="B2" s="12" t="s">
        <v>1344</v>
      </c>
    </row>
    <row r="3" spans="1:2" ht="32" x14ac:dyDescent="0.2">
      <c r="A3" s="1" t="s">
        <v>1322</v>
      </c>
      <c r="B3" s="2" t="s">
        <v>5</v>
      </c>
    </row>
    <row r="4" spans="1:2" ht="16" x14ac:dyDescent="0.2">
      <c r="A4" s="2" t="s">
        <v>1345</v>
      </c>
      <c r="B4" s="2" t="s">
        <v>1336</v>
      </c>
    </row>
    <row r="5" spans="1:2" ht="16" x14ac:dyDescent="0.2">
      <c r="A5" s="2" t="s">
        <v>1281</v>
      </c>
      <c r="B5" s="2" t="s">
        <v>5</v>
      </c>
    </row>
    <row r="6" spans="1:2" ht="32" x14ac:dyDescent="0.2">
      <c r="A6" s="1" t="s">
        <v>1322</v>
      </c>
      <c r="B6" s="2" t="s">
        <v>5</v>
      </c>
    </row>
    <row r="7" spans="1:2" ht="16" x14ac:dyDescent="0.2">
      <c r="A7" s="2" t="s">
        <v>1346</v>
      </c>
      <c r="B7" s="4">
        <v>6117900</v>
      </c>
    </row>
    <row r="8" spans="1:2" ht="16" x14ac:dyDescent="0.2">
      <c r="A8" s="2" t="s">
        <v>1282</v>
      </c>
      <c r="B8" s="4">
        <v>411134</v>
      </c>
    </row>
    <row r="9" spans="1:2" ht="16" x14ac:dyDescent="0.2">
      <c r="A9" s="2" t="s">
        <v>1347</v>
      </c>
      <c r="B9" s="4">
        <v>-229226</v>
      </c>
    </row>
    <row r="10" spans="1:2" ht="16" x14ac:dyDescent="0.2">
      <c r="A10" s="2" t="s">
        <v>1348</v>
      </c>
      <c r="B10" s="4">
        <v>-950318</v>
      </c>
    </row>
    <row r="11" spans="1:2" ht="16" x14ac:dyDescent="0.2">
      <c r="A11" s="2" t="s">
        <v>1349</v>
      </c>
      <c r="B11" s="4">
        <v>5349490</v>
      </c>
    </row>
    <row r="12" spans="1:2" ht="16" x14ac:dyDescent="0.2">
      <c r="A12" s="2" t="s">
        <v>1350</v>
      </c>
      <c r="B12" s="4">
        <v>1630233</v>
      </c>
    </row>
    <row r="13" spans="1:2" ht="16" x14ac:dyDescent="0.2">
      <c r="A13" s="2" t="s">
        <v>1278</v>
      </c>
      <c r="B13" s="5">
        <v>366</v>
      </c>
    </row>
    <row r="14" spans="1:2" ht="16" x14ac:dyDescent="0.2">
      <c r="A14" s="2" t="s">
        <v>1345</v>
      </c>
      <c r="B14" s="2" t="s">
        <v>1351</v>
      </c>
    </row>
    <row r="15" spans="1:2" ht="16" x14ac:dyDescent="0.2">
      <c r="A15" s="2" t="s">
        <v>1352</v>
      </c>
      <c r="B15" s="2" t="s">
        <v>5</v>
      </c>
    </row>
    <row r="16" spans="1:2" ht="32" x14ac:dyDescent="0.2">
      <c r="A16" s="1" t="s">
        <v>1322</v>
      </c>
      <c r="B16" s="2" t="s">
        <v>5</v>
      </c>
    </row>
    <row r="17" spans="1:2" ht="16" x14ac:dyDescent="0.2">
      <c r="A17" s="2" t="s">
        <v>1346</v>
      </c>
      <c r="B17" s="4">
        <v>4373807</v>
      </c>
    </row>
    <row r="18" spans="1:2" ht="16" x14ac:dyDescent="0.2">
      <c r="A18" s="2" t="s">
        <v>1347</v>
      </c>
      <c r="B18" s="4">
        <v>-106087</v>
      </c>
    </row>
    <row r="19" spans="1:2" ht="16" x14ac:dyDescent="0.2">
      <c r="A19" s="2" t="s">
        <v>1348</v>
      </c>
      <c r="B19" s="4">
        <v>-4242199</v>
      </c>
    </row>
    <row r="20" spans="1:2" ht="16" x14ac:dyDescent="0.2">
      <c r="A20" s="2" t="s">
        <v>1349</v>
      </c>
      <c r="B20" s="4">
        <v>25521</v>
      </c>
    </row>
    <row r="21" spans="1:2" ht="16" x14ac:dyDescent="0.2">
      <c r="A21" s="2" t="s">
        <v>1350</v>
      </c>
      <c r="B21" s="4">
        <v>25407</v>
      </c>
    </row>
    <row r="22" spans="1:2" ht="16" x14ac:dyDescent="0.2">
      <c r="A22" s="2" t="s">
        <v>216</v>
      </c>
      <c r="B22" s="2" t="s">
        <v>5</v>
      </c>
    </row>
    <row r="23" spans="1:2" ht="32" x14ac:dyDescent="0.2">
      <c r="A23" s="1" t="s">
        <v>1322</v>
      </c>
      <c r="B23" s="2" t="s">
        <v>5</v>
      </c>
    </row>
    <row r="24" spans="1:2" ht="16" x14ac:dyDescent="0.2">
      <c r="A24" s="2" t="s">
        <v>1346</v>
      </c>
      <c r="B24" s="4">
        <v>958694</v>
      </c>
    </row>
    <row r="25" spans="1:2" ht="16" x14ac:dyDescent="0.2">
      <c r="A25" s="2" t="s">
        <v>1282</v>
      </c>
      <c r="B25" s="4">
        <v>142711</v>
      </c>
    </row>
    <row r="26" spans="1:2" ht="16" x14ac:dyDescent="0.2">
      <c r="A26" s="2" t="s">
        <v>1347</v>
      </c>
      <c r="B26" s="4">
        <v>-32253</v>
      </c>
    </row>
    <row r="27" spans="1:2" ht="16" x14ac:dyDescent="0.2">
      <c r="A27" s="2" t="s">
        <v>1348</v>
      </c>
      <c r="B27" s="4">
        <v>-303642</v>
      </c>
    </row>
    <row r="28" spans="1:2" ht="16" x14ac:dyDescent="0.2">
      <c r="A28" s="2" t="s">
        <v>1349</v>
      </c>
      <c r="B28" s="4">
        <v>765510</v>
      </c>
    </row>
    <row r="29" spans="1:2" ht="16" x14ac:dyDescent="0.2">
      <c r="A29" s="2" t="s">
        <v>1350</v>
      </c>
      <c r="B29" s="4">
        <v>34600</v>
      </c>
    </row>
    <row r="30" spans="1:2" ht="16" x14ac:dyDescent="0.2">
      <c r="A30" s="2" t="s">
        <v>1278</v>
      </c>
      <c r="B30" s="5">
        <v>55</v>
      </c>
    </row>
    <row r="31" spans="1:2" ht="16" x14ac:dyDescent="0.2">
      <c r="A31" s="2" t="s">
        <v>1345</v>
      </c>
      <c r="B31" s="2" t="s">
        <v>1353</v>
      </c>
    </row>
  </sheetData>
  <mergeCells count="1">
    <mergeCell ref="A1:A2"/>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7"/>
  <sheetViews>
    <sheetView workbookViewId="0"/>
  </sheetViews>
  <sheetFormatPr baseColWidth="10" defaultColWidth="8.83203125" defaultRowHeight="15" x14ac:dyDescent="0.2"/>
  <cols>
    <col min="1" max="1" width="67" customWidth="1"/>
    <col min="2" max="2" width="16" customWidth="1"/>
    <col min="3" max="3" width="14" customWidth="1"/>
  </cols>
  <sheetData>
    <row r="1" spans="1:3" ht="16" x14ac:dyDescent="0.2">
      <c r="A1" s="59" t="s">
        <v>1354</v>
      </c>
      <c r="B1" s="12" t="s">
        <v>1</v>
      </c>
    </row>
    <row r="2" spans="1:3" ht="16" x14ac:dyDescent="0.2">
      <c r="A2" s="60"/>
      <c r="B2" s="12" t="s">
        <v>2</v>
      </c>
      <c r="C2" s="12" t="s">
        <v>75</v>
      </c>
    </row>
    <row r="3" spans="1:3" ht="16" x14ac:dyDescent="0.2">
      <c r="A3" s="1" t="s">
        <v>376</v>
      </c>
      <c r="B3" s="2" t="s">
        <v>5</v>
      </c>
      <c r="C3" s="2" t="s">
        <v>5</v>
      </c>
    </row>
    <row r="4" spans="1:3" ht="16" x14ac:dyDescent="0.2">
      <c r="A4" s="2" t="s">
        <v>297</v>
      </c>
      <c r="B4" s="4">
        <v>1200000000</v>
      </c>
      <c r="C4" s="4">
        <v>1200000000</v>
      </c>
    </row>
    <row r="5" spans="1:3" ht="16" x14ac:dyDescent="0.2">
      <c r="A5" s="2" t="s">
        <v>1355</v>
      </c>
      <c r="B5" s="4">
        <v>20000000</v>
      </c>
      <c r="C5" s="4">
        <v>20000000</v>
      </c>
    </row>
    <row r="6" spans="1:3" ht="16" x14ac:dyDescent="0.2">
      <c r="A6" s="2" t="s">
        <v>1356</v>
      </c>
      <c r="B6" s="4">
        <v>0</v>
      </c>
      <c r="C6" s="4">
        <v>0</v>
      </c>
    </row>
    <row r="7" spans="1:3" ht="16" x14ac:dyDescent="0.2">
      <c r="A7" s="2" t="s">
        <v>1357</v>
      </c>
      <c r="B7" s="5">
        <v>-267</v>
      </c>
      <c r="C7" s="2" t="s">
        <v>5</v>
      </c>
    </row>
  </sheetData>
  <mergeCells count="1">
    <mergeCell ref="A1:A2"/>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D10"/>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1358</v>
      </c>
      <c r="B1" s="61" t="s">
        <v>1</v>
      </c>
      <c r="C1" s="60"/>
      <c r="D1" s="60"/>
    </row>
    <row r="2" spans="1:4" ht="16" x14ac:dyDescent="0.2">
      <c r="A2" s="60"/>
      <c r="B2" s="12" t="s">
        <v>2</v>
      </c>
      <c r="C2" s="12" t="s">
        <v>75</v>
      </c>
      <c r="D2" s="12" t="s">
        <v>76</v>
      </c>
    </row>
    <row r="3" spans="1:4" ht="16" x14ac:dyDescent="0.2">
      <c r="A3" s="1" t="s">
        <v>301</v>
      </c>
      <c r="B3" s="2" t="s">
        <v>5</v>
      </c>
      <c r="C3" s="2" t="s">
        <v>5</v>
      </c>
      <c r="D3" s="2" t="s">
        <v>5</v>
      </c>
    </row>
    <row r="4" spans="1:4" ht="16" x14ac:dyDescent="0.2">
      <c r="A4" s="2" t="s">
        <v>1359</v>
      </c>
      <c r="B4" s="4">
        <v>1012261159</v>
      </c>
      <c r="C4" s="4">
        <v>1012261159</v>
      </c>
      <c r="D4" s="4">
        <v>1012261159</v>
      </c>
    </row>
    <row r="5" spans="1:4" ht="16" x14ac:dyDescent="0.2">
      <c r="A5" s="2" t="s">
        <v>1360</v>
      </c>
      <c r="B5" s="4">
        <v>1012261159</v>
      </c>
      <c r="C5" s="4">
        <v>1012261159</v>
      </c>
      <c r="D5" s="4">
        <v>1012261159</v>
      </c>
    </row>
    <row r="6" spans="1:4" ht="16" x14ac:dyDescent="0.2">
      <c r="A6" s="1" t="s">
        <v>303</v>
      </c>
      <c r="B6" s="2" t="s">
        <v>5</v>
      </c>
      <c r="C6" s="2" t="s">
        <v>5</v>
      </c>
      <c r="D6" s="2" t="s">
        <v>5</v>
      </c>
    </row>
    <row r="7" spans="1:4" ht="16" x14ac:dyDescent="0.2">
      <c r="A7" s="2" t="s">
        <v>1361</v>
      </c>
      <c r="B7" s="4">
        <v>414671383</v>
      </c>
      <c r="C7" s="4">
        <v>423343707</v>
      </c>
      <c r="D7" s="4">
        <v>429941021</v>
      </c>
    </row>
    <row r="8" spans="1:4" ht="16" x14ac:dyDescent="0.2">
      <c r="A8" s="2" t="s">
        <v>1362</v>
      </c>
      <c r="B8" s="4">
        <v>-13651201</v>
      </c>
      <c r="C8" s="4">
        <v>-8877047</v>
      </c>
      <c r="D8" s="4">
        <v>-6904556</v>
      </c>
    </row>
    <row r="9" spans="1:4" ht="16" x14ac:dyDescent="0.2">
      <c r="A9" s="2" t="s">
        <v>1363</v>
      </c>
      <c r="B9" s="4">
        <v>1725954</v>
      </c>
      <c r="C9" s="4">
        <v>204723</v>
      </c>
      <c r="D9" s="4">
        <v>307242</v>
      </c>
    </row>
    <row r="10" spans="1:4" ht="16" x14ac:dyDescent="0.2">
      <c r="A10" s="2" t="s">
        <v>1364</v>
      </c>
      <c r="B10" s="4">
        <v>402746136</v>
      </c>
      <c r="C10" s="4">
        <v>414671383</v>
      </c>
      <c r="D10" s="4">
        <v>423343707</v>
      </c>
    </row>
  </sheetData>
  <mergeCells count="2">
    <mergeCell ref="A1:A2"/>
    <mergeCell ref="B1:D1"/>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D44"/>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1365</v>
      </c>
      <c r="B1" s="61" t="s">
        <v>1</v>
      </c>
      <c r="C1" s="60"/>
      <c r="D1" s="60"/>
    </row>
    <row r="2" spans="1:4" ht="16" x14ac:dyDescent="0.2">
      <c r="A2" s="60"/>
      <c r="B2" s="12" t="s">
        <v>2</v>
      </c>
      <c r="C2" s="12" t="s">
        <v>75</v>
      </c>
      <c r="D2" s="12" t="s">
        <v>76</v>
      </c>
    </row>
    <row r="3" spans="1:4" ht="16" x14ac:dyDescent="0.2">
      <c r="A3" s="1" t="s">
        <v>1366</v>
      </c>
      <c r="B3" s="2" t="s">
        <v>5</v>
      </c>
      <c r="C3" s="2" t="s">
        <v>5</v>
      </c>
      <c r="D3" s="2" t="s">
        <v>5</v>
      </c>
    </row>
    <row r="4" spans="1:4" ht="16" x14ac:dyDescent="0.2">
      <c r="A4" s="2" t="s">
        <v>1123</v>
      </c>
      <c r="B4" s="5">
        <v>-9550</v>
      </c>
      <c r="C4" s="2" t="s">
        <v>5</v>
      </c>
      <c r="D4" s="2" t="s">
        <v>5</v>
      </c>
    </row>
    <row r="5" spans="1:4" ht="16" x14ac:dyDescent="0.2">
      <c r="A5" s="2" t="s">
        <v>1367</v>
      </c>
      <c r="B5" s="4">
        <v>-646</v>
      </c>
      <c r="C5" s="5">
        <v>1426</v>
      </c>
      <c r="D5" s="5">
        <v>4248</v>
      </c>
    </row>
    <row r="6" spans="1:4" ht="16" x14ac:dyDescent="0.2">
      <c r="A6" s="2" t="s">
        <v>1368</v>
      </c>
      <c r="B6" s="4">
        <v>-109</v>
      </c>
      <c r="C6" s="4">
        <v>683</v>
      </c>
      <c r="D6" s="4">
        <v>1226</v>
      </c>
    </row>
    <row r="7" spans="1:4" ht="16" x14ac:dyDescent="0.2">
      <c r="A7" s="2" t="s">
        <v>1369</v>
      </c>
      <c r="B7" s="4">
        <v>-755</v>
      </c>
      <c r="C7" s="4">
        <v>2109</v>
      </c>
      <c r="D7" s="4">
        <v>5474</v>
      </c>
    </row>
    <row r="8" spans="1:4" ht="16" x14ac:dyDescent="0.2">
      <c r="A8" s="2" t="s">
        <v>1129</v>
      </c>
      <c r="B8" s="4">
        <v>-10305</v>
      </c>
      <c r="C8" s="4">
        <v>-9550</v>
      </c>
      <c r="D8" s="2" t="s">
        <v>5</v>
      </c>
    </row>
    <row r="9" spans="1:4" ht="16" x14ac:dyDescent="0.2">
      <c r="A9" s="2" t="s">
        <v>1370</v>
      </c>
      <c r="B9" s="4">
        <v>-722</v>
      </c>
      <c r="C9" s="4">
        <v>1533</v>
      </c>
      <c r="D9" s="4">
        <v>4262</v>
      </c>
    </row>
    <row r="10" spans="1:4" ht="16" x14ac:dyDescent="0.2">
      <c r="A10" s="2" t="s">
        <v>132</v>
      </c>
      <c r="B10" s="4">
        <v>13</v>
      </c>
      <c r="C10" s="4">
        <v>-22</v>
      </c>
      <c r="D10" s="4">
        <v>-32</v>
      </c>
    </row>
    <row r="11" spans="1:4" ht="32" x14ac:dyDescent="0.2">
      <c r="A11" s="2" t="s">
        <v>1371</v>
      </c>
      <c r="B11" s="4">
        <v>-2</v>
      </c>
      <c r="C11" s="4">
        <v>791</v>
      </c>
      <c r="D11" s="4">
        <v>1155</v>
      </c>
    </row>
    <row r="12" spans="1:4" ht="16" x14ac:dyDescent="0.2">
      <c r="A12" s="2" t="s">
        <v>133</v>
      </c>
      <c r="B12" s="4">
        <v>0</v>
      </c>
      <c r="C12" s="4">
        <v>-11</v>
      </c>
      <c r="D12" s="4">
        <v>-8</v>
      </c>
    </row>
    <row r="13" spans="1:4" ht="32" x14ac:dyDescent="0.2">
      <c r="A13" s="2" t="s">
        <v>1372</v>
      </c>
      <c r="B13" s="4">
        <v>39</v>
      </c>
      <c r="C13" s="2" t="s">
        <v>5</v>
      </c>
      <c r="D13" s="2" t="s">
        <v>5</v>
      </c>
    </row>
    <row r="14" spans="1:4" ht="32" x14ac:dyDescent="0.2">
      <c r="A14" s="2" t="s">
        <v>1373</v>
      </c>
      <c r="B14" s="4">
        <v>-11</v>
      </c>
      <c r="C14" s="2" t="s">
        <v>5</v>
      </c>
      <c r="D14" s="2" t="s">
        <v>5</v>
      </c>
    </row>
    <row r="15" spans="1:4" ht="16" x14ac:dyDescent="0.2">
      <c r="A15" s="2" t="s">
        <v>1374</v>
      </c>
      <c r="B15" s="2" t="s">
        <v>5</v>
      </c>
      <c r="C15" s="2" t="s">
        <v>5</v>
      </c>
      <c r="D15" s="2" t="s">
        <v>5</v>
      </c>
    </row>
    <row r="16" spans="1:4" ht="16" x14ac:dyDescent="0.2">
      <c r="A16" s="1" t="s">
        <v>1366</v>
      </c>
      <c r="B16" s="2" t="s">
        <v>5</v>
      </c>
      <c r="C16" s="2" t="s">
        <v>5</v>
      </c>
      <c r="D16" s="2" t="s">
        <v>5</v>
      </c>
    </row>
    <row r="17" spans="1:4" ht="16" x14ac:dyDescent="0.2">
      <c r="A17" s="2" t="s">
        <v>1123</v>
      </c>
      <c r="B17" s="4">
        <v>-167</v>
      </c>
      <c r="C17" s="4">
        <v>-105</v>
      </c>
      <c r="D17" s="4">
        <v>-30</v>
      </c>
    </row>
    <row r="18" spans="1:4" ht="16" x14ac:dyDescent="0.2">
      <c r="A18" s="2" t="s">
        <v>1367</v>
      </c>
      <c r="B18" s="4">
        <v>33</v>
      </c>
      <c r="C18" s="4">
        <v>-62</v>
      </c>
      <c r="D18" s="4">
        <v>-75</v>
      </c>
    </row>
    <row r="19" spans="1:4" ht="16" x14ac:dyDescent="0.2">
      <c r="A19" s="2" t="s">
        <v>1369</v>
      </c>
      <c r="B19" s="4">
        <v>33</v>
      </c>
      <c r="C19" s="4">
        <v>-62</v>
      </c>
      <c r="D19" s="4">
        <v>-75</v>
      </c>
    </row>
    <row r="20" spans="1:4" ht="16" x14ac:dyDescent="0.2">
      <c r="A20" s="2" t="s">
        <v>1129</v>
      </c>
      <c r="B20" s="4">
        <v>-134</v>
      </c>
      <c r="C20" s="4">
        <v>-167</v>
      </c>
      <c r="D20" s="4">
        <v>-105</v>
      </c>
    </row>
    <row r="21" spans="1:4" ht="16" x14ac:dyDescent="0.2">
      <c r="A21" s="2" t="s">
        <v>1375</v>
      </c>
      <c r="B21" s="2" t="s">
        <v>5</v>
      </c>
      <c r="C21" s="2" t="s">
        <v>5</v>
      </c>
      <c r="D21" s="2" t="s">
        <v>5</v>
      </c>
    </row>
    <row r="22" spans="1:4" ht="16" x14ac:dyDescent="0.2">
      <c r="A22" s="1" t="s">
        <v>1366</v>
      </c>
      <c r="B22" s="2" t="s">
        <v>5</v>
      </c>
      <c r="C22" s="2" t="s">
        <v>5</v>
      </c>
      <c r="D22" s="2" t="s">
        <v>5</v>
      </c>
    </row>
    <row r="23" spans="1:4" ht="16" x14ac:dyDescent="0.2">
      <c r="A23" s="2" t="s">
        <v>1123</v>
      </c>
      <c r="B23" s="2" t="s">
        <v>111</v>
      </c>
      <c r="C23" s="4">
        <v>1</v>
      </c>
      <c r="D23" s="4">
        <v>1</v>
      </c>
    </row>
    <row r="24" spans="1:4" ht="16" x14ac:dyDescent="0.2">
      <c r="A24" s="2" t="s">
        <v>1367</v>
      </c>
      <c r="B24" s="4">
        <v>2</v>
      </c>
      <c r="C24" s="4">
        <v>-1</v>
      </c>
      <c r="D24" s="2" t="s">
        <v>5</v>
      </c>
    </row>
    <row r="25" spans="1:4" ht="16" x14ac:dyDescent="0.2">
      <c r="A25" s="2" t="s">
        <v>1369</v>
      </c>
      <c r="B25" s="4">
        <v>2</v>
      </c>
      <c r="C25" s="4">
        <v>-1</v>
      </c>
      <c r="D25" s="2" t="s">
        <v>111</v>
      </c>
    </row>
    <row r="26" spans="1:4" ht="16" x14ac:dyDescent="0.2">
      <c r="A26" s="2" t="s">
        <v>1129</v>
      </c>
      <c r="B26" s="4">
        <v>2</v>
      </c>
      <c r="C26" s="2" t="s">
        <v>111</v>
      </c>
      <c r="D26" s="4">
        <v>1</v>
      </c>
    </row>
    <row r="27" spans="1:4" ht="16" x14ac:dyDescent="0.2">
      <c r="A27" s="2" t="s">
        <v>1376</v>
      </c>
      <c r="B27" s="2" t="s">
        <v>5</v>
      </c>
      <c r="C27" s="2" t="s">
        <v>5</v>
      </c>
      <c r="D27" s="2" t="s">
        <v>5</v>
      </c>
    </row>
    <row r="28" spans="1:4" ht="16" x14ac:dyDescent="0.2">
      <c r="A28" s="1" t="s">
        <v>1366</v>
      </c>
      <c r="B28" s="2" t="s">
        <v>5</v>
      </c>
      <c r="C28" s="2" t="s">
        <v>5</v>
      </c>
      <c r="D28" s="2" t="s">
        <v>5</v>
      </c>
    </row>
    <row r="29" spans="1:4" ht="16" x14ac:dyDescent="0.2">
      <c r="A29" s="2" t="s">
        <v>1123</v>
      </c>
      <c r="B29" s="4">
        <v>-24</v>
      </c>
      <c r="C29" s="4">
        <v>6</v>
      </c>
      <c r="D29" s="4">
        <v>-43</v>
      </c>
    </row>
    <row r="30" spans="1:4" ht="16" x14ac:dyDescent="0.2">
      <c r="A30" s="2" t="s">
        <v>1367</v>
      </c>
      <c r="B30" s="4">
        <v>41</v>
      </c>
      <c r="C30" s="4">
        <v>-40</v>
      </c>
      <c r="D30" s="4">
        <v>55</v>
      </c>
    </row>
    <row r="31" spans="1:4" ht="16" x14ac:dyDescent="0.2">
      <c r="A31" s="2" t="s">
        <v>1368</v>
      </c>
      <c r="B31" s="4">
        <v>-5</v>
      </c>
      <c r="C31" s="4">
        <v>10</v>
      </c>
      <c r="D31" s="4">
        <v>-6</v>
      </c>
    </row>
    <row r="32" spans="1:4" ht="16" x14ac:dyDescent="0.2">
      <c r="A32" s="2" t="s">
        <v>1369</v>
      </c>
      <c r="B32" s="4">
        <v>36</v>
      </c>
      <c r="C32" s="4">
        <v>-30</v>
      </c>
      <c r="D32" s="4">
        <v>49</v>
      </c>
    </row>
    <row r="33" spans="1:4" ht="16" x14ac:dyDescent="0.2">
      <c r="A33" s="2" t="s">
        <v>1129</v>
      </c>
      <c r="B33" s="4">
        <v>12</v>
      </c>
      <c r="C33" s="4">
        <v>-24</v>
      </c>
      <c r="D33" s="4">
        <v>6</v>
      </c>
    </row>
    <row r="34" spans="1:4" ht="16" x14ac:dyDescent="0.2">
      <c r="A34" s="2" t="s">
        <v>1377</v>
      </c>
      <c r="B34" s="2" t="s">
        <v>5</v>
      </c>
      <c r="C34" s="2" t="s">
        <v>5</v>
      </c>
      <c r="D34" s="2" t="s">
        <v>5</v>
      </c>
    </row>
    <row r="35" spans="1:4" ht="16" x14ac:dyDescent="0.2">
      <c r="A35" s="1" t="s">
        <v>1366</v>
      </c>
      <c r="B35" s="2" t="s">
        <v>5</v>
      </c>
      <c r="C35" s="2" t="s">
        <v>5</v>
      </c>
      <c r="D35" s="2" t="s">
        <v>5</v>
      </c>
    </row>
    <row r="36" spans="1:4" ht="16" x14ac:dyDescent="0.2">
      <c r="A36" s="2" t="s">
        <v>1123</v>
      </c>
      <c r="B36" s="4">
        <v>-9359</v>
      </c>
      <c r="C36" s="4">
        <v>-11561</v>
      </c>
      <c r="D36" s="4">
        <v>-17061</v>
      </c>
    </row>
    <row r="37" spans="1:4" ht="16" x14ac:dyDescent="0.2">
      <c r="A37" s="2" t="s">
        <v>1367</v>
      </c>
      <c r="B37" s="4">
        <v>-722</v>
      </c>
      <c r="C37" s="4">
        <v>1529</v>
      </c>
      <c r="D37" s="4">
        <v>4268</v>
      </c>
    </row>
    <row r="38" spans="1:4" ht="16" x14ac:dyDescent="0.2">
      <c r="A38" s="2" t="s">
        <v>1368</v>
      </c>
      <c r="B38" s="4">
        <v>-104</v>
      </c>
      <c r="C38" s="4">
        <v>673</v>
      </c>
      <c r="D38" s="4">
        <v>1232</v>
      </c>
    </row>
    <row r="39" spans="1:4" ht="16" x14ac:dyDescent="0.2">
      <c r="A39" s="2" t="s">
        <v>1369</v>
      </c>
      <c r="B39" s="4">
        <v>-826</v>
      </c>
      <c r="C39" s="4">
        <v>2202</v>
      </c>
      <c r="D39" s="4">
        <v>5500</v>
      </c>
    </row>
    <row r="40" spans="1:4" ht="16" x14ac:dyDescent="0.2">
      <c r="A40" s="2" t="s">
        <v>1129</v>
      </c>
      <c r="B40" s="4">
        <v>-10185</v>
      </c>
      <c r="C40" s="4">
        <v>-9359</v>
      </c>
      <c r="D40" s="4">
        <v>-11561</v>
      </c>
    </row>
    <row r="41" spans="1:4" ht="16" x14ac:dyDescent="0.2">
      <c r="A41" s="2" t="s">
        <v>305</v>
      </c>
      <c r="B41" s="2" t="s">
        <v>5</v>
      </c>
      <c r="C41" s="2" t="s">
        <v>5</v>
      </c>
      <c r="D41" s="2" t="s">
        <v>5</v>
      </c>
    </row>
    <row r="42" spans="1:4" ht="16" x14ac:dyDescent="0.2">
      <c r="A42" s="1" t="s">
        <v>1366</v>
      </c>
      <c r="B42" s="2" t="s">
        <v>5</v>
      </c>
      <c r="C42" s="2" t="s">
        <v>5</v>
      </c>
      <c r="D42" s="2" t="s">
        <v>5</v>
      </c>
    </row>
    <row r="43" spans="1:4" ht="16" x14ac:dyDescent="0.2">
      <c r="A43" s="2" t="s">
        <v>1123</v>
      </c>
      <c r="B43" s="4">
        <v>-9550</v>
      </c>
      <c r="C43" s="4">
        <v>-11659</v>
      </c>
      <c r="D43" s="4">
        <v>-17133</v>
      </c>
    </row>
    <row r="44" spans="1:4" ht="16" x14ac:dyDescent="0.2">
      <c r="A44" s="2" t="s">
        <v>1129</v>
      </c>
      <c r="B44" s="5">
        <v>-10305</v>
      </c>
      <c r="C44" s="5">
        <v>-9550</v>
      </c>
      <c r="D44" s="5">
        <v>-11659</v>
      </c>
    </row>
  </sheetData>
  <mergeCells count="2">
    <mergeCell ref="A1:A2"/>
    <mergeCell ref="B1:D1"/>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31"/>
  <sheetViews>
    <sheetView workbookViewId="0"/>
  </sheetViews>
  <sheetFormatPr baseColWidth="10" defaultColWidth="8.83203125" defaultRowHeight="15" x14ac:dyDescent="0.2"/>
  <cols>
    <col min="1" max="1" width="80" customWidth="1"/>
    <col min="2" max="3" width="26" customWidth="1"/>
  </cols>
  <sheetData>
    <row r="1" spans="1:3" ht="32" x14ac:dyDescent="0.2">
      <c r="A1" s="11" t="s">
        <v>1378</v>
      </c>
      <c r="B1" s="12" t="s">
        <v>2</v>
      </c>
      <c r="C1" s="12" t="s">
        <v>75</v>
      </c>
    </row>
    <row r="2" spans="1:3" ht="16" x14ac:dyDescent="0.2">
      <c r="A2" s="1" t="s">
        <v>1379</v>
      </c>
      <c r="B2" s="2" t="s">
        <v>5</v>
      </c>
      <c r="C2" s="2" t="s">
        <v>5</v>
      </c>
    </row>
    <row r="3" spans="1:3" ht="16" x14ac:dyDescent="0.2">
      <c r="A3" s="2" t="s">
        <v>1380</v>
      </c>
      <c r="B3" s="5">
        <v>5003</v>
      </c>
      <c r="C3" s="5">
        <v>4291</v>
      </c>
    </row>
    <row r="4" spans="1:3" ht="16" x14ac:dyDescent="0.2">
      <c r="A4" s="2" t="s">
        <v>1381</v>
      </c>
      <c r="B4" s="4">
        <v>169</v>
      </c>
      <c r="C4" s="4">
        <v>145</v>
      </c>
    </row>
    <row r="5" spans="1:3" ht="16" x14ac:dyDescent="0.2">
      <c r="A5" s="2" t="s">
        <v>180</v>
      </c>
      <c r="B5" s="4">
        <v>-105</v>
      </c>
      <c r="C5" s="4">
        <v>-174</v>
      </c>
    </row>
    <row r="6" spans="1:3" ht="16" x14ac:dyDescent="0.2">
      <c r="A6" s="2" t="s">
        <v>1382</v>
      </c>
      <c r="B6" s="4">
        <v>-47</v>
      </c>
      <c r="C6" s="4">
        <v>-33</v>
      </c>
    </row>
    <row r="7" spans="1:3" ht="16" x14ac:dyDescent="0.2">
      <c r="A7" s="2" t="s">
        <v>1383</v>
      </c>
      <c r="B7" s="4">
        <v>47</v>
      </c>
      <c r="C7" s="4">
        <v>33</v>
      </c>
    </row>
    <row r="8" spans="1:3" ht="16" x14ac:dyDescent="0.2">
      <c r="A8" s="2" t="s">
        <v>1384</v>
      </c>
      <c r="B8" s="4">
        <v>122</v>
      </c>
      <c r="C8" s="4">
        <v>112</v>
      </c>
    </row>
    <row r="9" spans="1:3" ht="16" x14ac:dyDescent="0.2">
      <c r="A9" s="2" t="s">
        <v>1385</v>
      </c>
      <c r="B9" s="5">
        <v>-58</v>
      </c>
      <c r="C9" s="5">
        <v>-141</v>
      </c>
    </row>
    <row r="10" spans="1:3" ht="16" x14ac:dyDescent="0.2">
      <c r="A10" s="2" t="s">
        <v>1386</v>
      </c>
      <c r="B10" s="2" t="s">
        <v>160</v>
      </c>
      <c r="C10" s="2" t="s">
        <v>160</v>
      </c>
    </row>
    <row r="11" spans="1:3" ht="16" x14ac:dyDescent="0.2">
      <c r="A11" s="2" t="s">
        <v>1387</v>
      </c>
      <c r="B11" s="2" t="s">
        <v>180</v>
      </c>
      <c r="C11" s="2" t="s">
        <v>180</v>
      </c>
    </row>
    <row r="12" spans="1:3" ht="16" x14ac:dyDescent="0.2">
      <c r="A12" s="2" t="s">
        <v>1388</v>
      </c>
      <c r="B12" s="2" t="s">
        <v>5</v>
      </c>
      <c r="C12" s="2" t="s">
        <v>5</v>
      </c>
    </row>
    <row r="13" spans="1:3" ht="16" x14ac:dyDescent="0.2">
      <c r="A13" s="1" t="s">
        <v>1379</v>
      </c>
      <c r="B13" s="2" t="s">
        <v>5</v>
      </c>
      <c r="C13" s="2" t="s">
        <v>5</v>
      </c>
    </row>
    <row r="14" spans="1:3" ht="16" x14ac:dyDescent="0.2">
      <c r="A14" s="2" t="s">
        <v>1380</v>
      </c>
      <c r="B14" s="5">
        <v>4120</v>
      </c>
      <c r="C14" s="5">
        <v>2815</v>
      </c>
    </row>
    <row r="15" spans="1:3" ht="16" x14ac:dyDescent="0.2">
      <c r="A15" s="2" t="s">
        <v>1381</v>
      </c>
      <c r="B15" s="4">
        <v>85</v>
      </c>
      <c r="C15" s="4">
        <v>23</v>
      </c>
    </row>
    <row r="16" spans="1:3" ht="16" x14ac:dyDescent="0.2">
      <c r="A16" s="2" t="s">
        <v>180</v>
      </c>
      <c r="B16" s="4">
        <v>-63</v>
      </c>
      <c r="C16" s="4">
        <v>-122</v>
      </c>
    </row>
    <row r="17" spans="1:3" ht="16" x14ac:dyDescent="0.2">
      <c r="A17" s="2" t="s">
        <v>1389</v>
      </c>
      <c r="B17" s="2" t="s">
        <v>5</v>
      </c>
      <c r="C17" s="2" t="s">
        <v>5</v>
      </c>
    </row>
    <row r="18" spans="1:3" ht="16" x14ac:dyDescent="0.2">
      <c r="A18" s="1" t="s">
        <v>1379</v>
      </c>
      <c r="B18" s="2" t="s">
        <v>5</v>
      </c>
      <c r="C18" s="2" t="s">
        <v>5</v>
      </c>
    </row>
    <row r="19" spans="1:3" ht="16" x14ac:dyDescent="0.2">
      <c r="A19" s="2" t="s">
        <v>1380</v>
      </c>
      <c r="B19" s="4">
        <v>254</v>
      </c>
      <c r="C19" s="4">
        <v>462</v>
      </c>
    </row>
    <row r="20" spans="1:3" ht="16" x14ac:dyDescent="0.2">
      <c r="A20" s="2" t="s">
        <v>1381</v>
      </c>
      <c r="B20" s="4">
        <v>1</v>
      </c>
      <c r="C20" s="4">
        <v>5</v>
      </c>
    </row>
    <row r="21" spans="1:3" ht="16" x14ac:dyDescent="0.2">
      <c r="A21" s="2" t="s">
        <v>180</v>
      </c>
      <c r="B21" s="4">
        <v>-32</v>
      </c>
      <c r="C21" s="4">
        <v>-42</v>
      </c>
    </row>
    <row r="22" spans="1:3" ht="16" x14ac:dyDescent="0.2">
      <c r="A22" s="2" t="s">
        <v>1390</v>
      </c>
      <c r="B22" s="2" t="s">
        <v>5</v>
      </c>
      <c r="C22" s="2" t="s">
        <v>5</v>
      </c>
    </row>
    <row r="23" spans="1:3" ht="16" x14ac:dyDescent="0.2">
      <c r="A23" s="1" t="s">
        <v>1379</v>
      </c>
      <c r="B23" s="2" t="s">
        <v>5</v>
      </c>
      <c r="C23" s="2" t="s">
        <v>5</v>
      </c>
    </row>
    <row r="24" spans="1:3" ht="16" x14ac:dyDescent="0.2">
      <c r="A24" s="2" t="s">
        <v>1380</v>
      </c>
      <c r="B24" s="4">
        <v>514</v>
      </c>
      <c r="C24" s="4">
        <v>602</v>
      </c>
    </row>
    <row r="25" spans="1:3" ht="16" x14ac:dyDescent="0.2">
      <c r="A25" s="2" t="s">
        <v>1381</v>
      </c>
      <c r="B25" s="4">
        <v>83</v>
      </c>
      <c r="C25" s="4">
        <v>115</v>
      </c>
    </row>
    <row r="26" spans="1:3" ht="16" x14ac:dyDescent="0.2">
      <c r="A26" s="2" t="s">
        <v>180</v>
      </c>
      <c r="B26" s="4">
        <v>-8</v>
      </c>
      <c r="C26" s="4">
        <v>-9</v>
      </c>
    </row>
    <row r="27" spans="1:3" ht="16" x14ac:dyDescent="0.2">
      <c r="A27" s="2" t="s">
        <v>1391</v>
      </c>
      <c r="B27" s="2" t="s">
        <v>5</v>
      </c>
      <c r="C27" s="2" t="s">
        <v>5</v>
      </c>
    </row>
    <row r="28" spans="1:3" ht="16" x14ac:dyDescent="0.2">
      <c r="A28" s="1" t="s">
        <v>1379</v>
      </c>
      <c r="B28" s="2" t="s">
        <v>5</v>
      </c>
      <c r="C28" s="2" t="s">
        <v>5</v>
      </c>
    </row>
    <row r="29" spans="1:3" ht="16" x14ac:dyDescent="0.2">
      <c r="A29" s="2" t="s">
        <v>1380</v>
      </c>
      <c r="B29" s="4">
        <v>115</v>
      </c>
      <c r="C29" s="4">
        <v>412</v>
      </c>
    </row>
    <row r="30" spans="1:3" ht="16" x14ac:dyDescent="0.2">
      <c r="A30" s="2" t="s">
        <v>1381</v>
      </c>
      <c r="B30" s="2" t="s">
        <v>111</v>
      </c>
      <c r="C30" s="4">
        <v>2</v>
      </c>
    </row>
    <row r="31" spans="1:3" ht="16" x14ac:dyDescent="0.2">
      <c r="A31" s="2" t="s">
        <v>180</v>
      </c>
      <c r="B31" s="5">
        <v>-2</v>
      </c>
      <c r="C31" s="5">
        <v>-1</v>
      </c>
    </row>
  </sheetData>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D8"/>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1392</v>
      </c>
      <c r="B1" s="61" t="s">
        <v>1</v>
      </c>
      <c r="C1" s="60"/>
      <c r="D1" s="60"/>
    </row>
    <row r="2" spans="1:4" ht="16" x14ac:dyDescent="0.2">
      <c r="A2" s="60"/>
      <c r="B2" s="12" t="s">
        <v>2</v>
      </c>
      <c r="C2" s="12" t="s">
        <v>75</v>
      </c>
      <c r="D2" s="12" t="s">
        <v>76</v>
      </c>
    </row>
    <row r="3" spans="1:4" ht="16" x14ac:dyDescent="0.2">
      <c r="A3" s="2" t="s">
        <v>1393</v>
      </c>
      <c r="B3" s="2" t="s">
        <v>5</v>
      </c>
      <c r="C3" s="2" t="s">
        <v>5</v>
      </c>
      <c r="D3" s="2" t="s">
        <v>5</v>
      </c>
    </row>
    <row r="4" spans="1:4" ht="16" x14ac:dyDescent="0.2">
      <c r="A4" s="1" t="s">
        <v>1379</v>
      </c>
      <c r="B4" s="2" t="s">
        <v>5</v>
      </c>
      <c r="C4" s="2" t="s">
        <v>5</v>
      </c>
      <c r="D4" s="2" t="s">
        <v>5</v>
      </c>
    </row>
    <row r="5" spans="1:4" ht="16" x14ac:dyDescent="0.2">
      <c r="A5" s="2" t="s">
        <v>1394</v>
      </c>
      <c r="B5" s="5">
        <v>61</v>
      </c>
      <c r="C5" s="5">
        <v>-118</v>
      </c>
      <c r="D5" s="5">
        <v>-47</v>
      </c>
    </row>
    <row r="6" spans="1:4" ht="16" x14ac:dyDescent="0.2">
      <c r="A6" s="2" t="s">
        <v>1395</v>
      </c>
      <c r="B6" s="2" t="s">
        <v>5</v>
      </c>
      <c r="C6" s="2" t="s">
        <v>5</v>
      </c>
      <c r="D6" s="2" t="s">
        <v>5</v>
      </c>
    </row>
    <row r="7" spans="1:4" ht="16" x14ac:dyDescent="0.2">
      <c r="A7" s="1" t="s">
        <v>1379</v>
      </c>
      <c r="B7" s="2" t="s">
        <v>5</v>
      </c>
      <c r="C7" s="2" t="s">
        <v>5</v>
      </c>
      <c r="D7" s="2" t="s">
        <v>5</v>
      </c>
    </row>
    <row r="8" spans="1:4" ht="16" x14ac:dyDescent="0.2">
      <c r="A8" s="2" t="s">
        <v>1394</v>
      </c>
      <c r="B8" s="5">
        <v>-20</v>
      </c>
      <c r="C8" s="5">
        <v>78</v>
      </c>
      <c r="D8" s="5">
        <v>102</v>
      </c>
    </row>
  </sheetData>
  <mergeCells count="2">
    <mergeCell ref="A1:A2"/>
    <mergeCell ref="B1:D1"/>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D17"/>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1396</v>
      </c>
      <c r="B1" s="61" t="s">
        <v>1</v>
      </c>
      <c r="C1" s="60"/>
      <c r="D1" s="60"/>
    </row>
    <row r="2" spans="1:4" ht="16" x14ac:dyDescent="0.2">
      <c r="A2" s="60"/>
      <c r="B2" s="12" t="s">
        <v>2</v>
      </c>
      <c r="C2" s="12" t="s">
        <v>75</v>
      </c>
      <c r="D2" s="12" t="s">
        <v>76</v>
      </c>
    </row>
    <row r="3" spans="1:4" ht="16" x14ac:dyDescent="0.2">
      <c r="A3" s="2" t="s">
        <v>1397</v>
      </c>
      <c r="B3" s="2" t="s">
        <v>5</v>
      </c>
      <c r="C3" s="2" t="s">
        <v>5</v>
      </c>
      <c r="D3" s="2" t="s">
        <v>5</v>
      </c>
    </row>
    <row r="4" spans="1:4" ht="32" x14ac:dyDescent="0.2">
      <c r="A4" s="1" t="s">
        <v>1398</v>
      </c>
      <c r="B4" s="2" t="s">
        <v>5</v>
      </c>
      <c r="C4" s="2" t="s">
        <v>5</v>
      </c>
      <c r="D4" s="2" t="s">
        <v>5</v>
      </c>
    </row>
    <row r="5" spans="1:4" ht="16" x14ac:dyDescent="0.2">
      <c r="A5" s="2" t="s">
        <v>1399</v>
      </c>
      <c r="B5" s="5">
        <v>31</v>
      </c>
      <c r="C5" s="5">
        <v>31</v>
      </c>
      <c r="D5" s="5">
        <v>-18</v>
      </c>
    </row>
    <row r="6" spans="1:4" ht="16" x14ac:dyDescent="0.2">
      <c r="A6" s="2" t="s">
        <v>81</v>
      </c>
      <c r="B6" s="2" t="s">
        <v>5</v>
      </c>
      <c r="C6" s="2" t="s">
        <v>5</v>
      </c>
      <c r="D6" s="2" t="s">
        <v>5</v>
      </c>
    </row>
    <row r="7" spans="1:4" ht="32" x14ac:dyDescent="0.2">
      <c r="A7" s="1" t="s">
        <v>1398</v>
      </c>
      <c r="B7" s="2" t="s">
        <v>5</v>
      </c>
      <c r="C7" s="2" t="s">
        <v>5</v>
      </c>
      <c r="D7" s="2" t="s">
        <v>5</v>
      </c>
    </row>
    <row r="8" spans="1:4" ht="16" x14ac:dyDescent="0.2">
      <c r="A8" s="2" t="s">
        <v>1399</v>
      </c>
      <c r="B8" s="4">
        <v>7</v>
      </c>
      <c r="C8" s="4">
        <v>10</v>
      </c>
      <c r="D8" s="4">
        <v>5</v>
      </c>
    </row>
    <row r="9" spans="1:4" ht="16" x14ac:dyDescent="0.2">
      <c r="A9" s="2" t="s">
        <v>1400</v>
      </c>
      <c r="B9" s="2" t="s">
        <v>5</v>
      </c>
      <c r="C9" s="2" t="s">
        <v>5</v>
      </c>
      <c r="D9" s="2" t="s">
        <v>5</v>
      </c>
    </row>
    <row r="10" spans="1:4" ht="32" x14ac:dyDescent="0.2">
      <c r="A10" s="1" t="s">
        <v>1398</v>
      </c>
      <c r="B10" s="2" t="s">
        <v>5</v>
      </c>
      <c r="C10" s="2" t="s">
        <v>5</v>
      </c>
      <c r="D10" s="2" t="s">
        <v>5</v>
      </c>
    </row>
    <row r="11" spans="1:4" ht="16" x14ac:dyDescent="0.2">
      <c r="A11" s="2" t="s">
        <v>1399</v>
      </c>
      <c r="B11" s="2" t="s">
        <v>111</v>
      </c>
      <c r="C11" s="4">
        <v>1</v>
      </c>
      <c r="D11" s="2" t="s">
        <v>111</v>
      </c>
    </row>
    <row r="12" spans="1:4" ht="16" x14ac:dyDescent="0.2">
      <c r="A12" s="2" t="s">
        <v>1397</v>
      </c>
      <c r="B12" s="2" t="s">
        <v>5</v>
      </c>
      <c r="C12" s="2" t="s">
        <v>5</v>
      </c>
      <c r="D12" s="2" t="s">
        <v>5</v>
      </c>
    </row>
    <row r="13" spans="1:4" ht="32" x14ac:dyDescent="0.2">
      <c r="A13" s="1" t="s">
        <v>1398</v>
      </c>
      <c r="B13" s="2" t="s">
        <v>5</v>
      </c>
      <c r="C13" s="2" t="s">
        <v>5</v>
      </c>
      <c r="D13" s="2" t="s">
        <v>5</v>
      </c>
    </row>
    <row r="14" spans="1:4" ht="16" x14ac:dyDescent="0.2">
      <c r="A14" s="2" t="s">
        <v>1399</v>
      </c>
      <c r="B14" s="4">
        <v>-15</v>
      </c>
      <c r="C14" s="4">
        <v>7</v>
      </c>
      <c r="D14" s="4">
        <v>13</v>
      </c>
    </row>
    <row r="15" spans="1:4" ht="16" x14ac:dyDescent="0.2">
      <c r="A15" s="2" t="s">
        <v>81</v>
      </c>
      <c r="B15" s="2" t="s">
        <v>5</v>
      </c>
      <c r="C15" s="2" t="s">
        <v>5</v>
      </c>
      <c r="D15" s="2" t="s">
        <v>5</v>
      </c>
    </row>
    <row r="16" spans="1:4" ht="32" x14ac:dyDescent="0.2">
      <c r="A16" s="1" t="s">
        <v>1398</v>
      </c>
      <c r="B16" s="2" t="s">
        <v>5</v>
      </c>
      <c r="C16" s="2" t="s">
        <v>5</v>
      </c>
      <c r="D16" s="2" t="s">
        <v>5</v>
      </c>
    </row>
    <row r="17" spans="1:4" ht="16" x14ac:dyDescent="0.2">
      <c r="A17" s="2" t="s">
        <v>1399</v>
      </c>
      <c r="B17" s="5">
        <v>-17</v>
      </c>
      <c r="C17" s="5">
        <v>-12</v>
      </c>
      <c r="D17" s="5">
        <v>8</v>
      </c>
    </row>
  </sheetData>
  <mergeCells count="2">
    <mergeCell ref="A1:A2"/>
    <mergeCell ref="B1:D1"/>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8"/>
  <sheetViews>
    <sheetView workbookViewId="0"/>
  </sheetViews>
  <sheetFormatPr baseColWidth="10" defaultColWidth="8.83203125" defaultRowHeight="15" x14ac:dyDescent="0.2"/>
  <cols>
    <col min="1" max="1" width="80" customWidth="1"/>
    <col min="2" max="2" width="16" customWidth="1"/>
    <col min="3" max="3" width="14" customWidth="1"/>
  </cols>
  <sheetData>
    <row r="1" spans="1:3" x14ac:dyDescent="0.2">
      <c r="A1" s="59" t="s">
        <v>1401</v>
      </c>
      <c r="B1" s="61" t="s">
        <v>1</v>
      </c>
      <c r="C1" s="60"/>
    </row>
    <row r="2" spans="1:3" ht="16" x14ac:dyDescent="0.2">
      <c r="A2" s="60"/>
      <c r="B2" s="12" t="s">
        <v>2</v>
      </c>
      <c r="C2" s="12" t="s">
        <v>75</v>
      </c>
    </row>
    <row r="3" spans="1:3" ht="16" x14ac:dyDescent="0.2">
      <c r="A3" s="1" t="s">
        <v>379</v>
      </c>
      <c r="B3" s="2" t="s">
        <v>5</v>
      </c>
      <c r="C3" s="2" t="s">
        <v>5</v>
      </c>
    </row>
    <row r="4" spans="1:3" ht="16" x14ac:dyDescent="0.2">
      <c r="A4" s="2" t="s">
        <v>1402</v>
      </c>
      <c r="B4" s="2" t="s">
        <v>5</v>
      </c>
      <c r="C4" s="5">
        <v>50</v>
      </c>
    </row>
    <row r="5" spans="1:3" ht="16" x14ac:dyDescent="0.2">
      <c r="A5" s="2" t="s">
        <v>1403</v>
      </c>
      <c r="B5" s="5">
        <v>-39</v>
      </c>
      <c r="C5" s="2" t="s">
        <v>5</v>
      </c>
    </row>
    <row r="6" spans="1:3" ht="16" x14ac:dyDescent="0.2">
      <c r="A6" s="2" t="s">
        <v>1055</v>
      </c>
      <c r="B6" s="2" t="s">
        <v>618</v>
      </c>
      <c r="C6" s="2" t="s">
        <v>5</v>
      </c>
    </row>
    <row r="7" spans="1:3" ht="16" x14ac:dyDescent="0.2">
      <c r="A7" s="2" t="s">
        <v>1404</v>
      </c>
      <c r="B7" s="2" t="s">
        <v>618</v>
      </c>
      <c r="C7" s="2" t="s">
        <v>5</v>
      </c>
    </row>
    <row r="8" spans="1:3" ht="16" x14ac:dyDescent="0.2">
      <c r="A8" s="2" t="s">
        <v>1405</v>
      </c>
      <c r="B8" s="5">
        <v>16</v>
      </c>
      <c r="C8" s="2" t="s">
        <v>5</v>
      </c>
    </row>
  </sheetData>
  <mergeCells count="2">
    <mergeCell ref="A1:A2"/>
    <mergeCell ref="B1:C1"/>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29"/>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1406</v>
      </c>
      <c r="B1" s="12" t="s">
        <v>2</v>
      </c>
      <c r="C1" s="12" t="s">
        <v>75</v>
      </c>
    </row>
    <row r="2" spans="1:3" ht="16" x14ac:dyDescent="0.2">
      <c r="A2" s="1" t="s">
        <v>1407</v>
      </c>
      <c r="B2" s="2" t="s">
        <v>5</v>
      </c>
      <c r="C2" s="2" t="s">
        <v>5</v>
      </c>
    </row>
    <row r="3" spans="1:3" ht="16" x14ac:dyDescent="0.2">
      <c r="A3" s="2" t="s">
        <v>433</v>
      </c>
      <c r="B3" s="5">
        <v>122</v>
      </c>
      <c r="C3" s="5">
        <v>112</v>
      </c>
    </row>
    <row r="4" spans="1:3" ht="16" x14ac:dyDescent="0.2">
      <c r="A4" s="2" t="s">
        <v>433</v>
      </c>
      <c r="B4" s="4">
        <v>-58</v>
      </c>
      <c r="C4" s="4">
        <v>-141</v>
      </c>
    </row>
    <row r="5" spans="1:3" ht="16" x14ac:dyDescent="0.2">
      <c r="A5" s="2" t="s">
        <v>1408</v>
      </c>
      <c r="B5" s="2" t="s">
        <v>5</v>
      </c>
      <c r="C5" s="2" t="s">
        <v>5</v>
      </c>
    </row>
    <row r="6" spans="1:3" ht="16" x14ac:dyDescent="0.2">
      <c r="A6" s="1" t="s">
        <v>1407</v>
      </c>
      <c r="B6" s="2" t="s">
        <v>5</v>
      </c>
      <c r="C6" s="2" t="s">
        <v>5</v>
      </c>
    </row>
    <row r="7" spans="1:3" ht="16" x14ac:dyDescent="0.2">
      <c r="A7" s="2" t="s">
        <v>1409</v>
      </c>
      <c r="B7" s="4">
        <v>1514</v>
      </c>
      <c r="C7" s="4">
        <v>1797</v>
      </c>
    </row>
    <row r="8" spans="1:3" ht="16" x14ac:dyDescent="0.2">
      <c r="A8" s="2" t="s">
        <v>1410</v>
      </c>
      <c r="B8" s="4">
        <v>291</v>
      </c>
      <c r="C8" s="4">
        <v>256</v>
      </c>
    </row>
    <row r="9" spans="1:3" ht="16" x14ac:dyDescent="0.2">
      <c r="A9" s="2" t="s">
        <v>1411</v>
      </c>
      <c r="B9" s="4">
        <v>183</v>
      </c>
      <c r="C9" s="4">
        <v>195</v>
      </c>
    </row>
    <row r="10" spans="1:3" ht="16" x14ac:dyDescent="0.2">
      <c r="A10" s="2" t="s">
        <v>1412</v>
      </c>
      <c r="B10" s="4">
        <v>25</v>
      </c>
      <c r="C10" s="4">
        <v>47</v>
      </c>
    </row>
    <row r="11" spans="1:3" ht="16" x14ac:dyDescent="0.2">
      <c r="A11" s="2" t="s">
        <v>1413</v>
      </c>
      <c r="B11" s="4">
        <v>44</v>
      </c>
      <c r="C11" s="4">
        <v>10</v>
      </c>
    </row>
    <row r="12" spans="1:3" ht="16" x14ac:dyDescent="0.2">
      <c r="A12" s="2" t="s">
        <v>433</v>
      </c>
      <c r="B12" s="4">
        <v>122</v>
      </c>
      <c r="C12" s="4">
        <v>112</v>
      </c>
    </row>
    <row r="13" spans="1:3" ht="16" x14ac:dyDescent="0.2">
      <c r="A13" s="2" t="s">
        <v>177</v>
      </c>
      <c r="B13" s="4">
        <v>2179</v>
      </c>
      <c r="C13" s="4">
        <v>2417</v>
      </c>
    </row>
    <row r="14" spans="1:3" ht="16" x14ac:dyDescent="0.2">
      <c r="A14" s="2" t="s">
        <v>433</v>
      </c>
      <c r="B14" s="4">
        <v>-58</v>
      </c>
      <c r="C14" s="4">
        <v>-141</v>
      </c>
    </row>
    <row r="15" spans="1:3" ht="16" x14ac:dyDescent="0.2">
      <c r="A15" s="2" t="s">
        <v>188</v>
      </c>
      <c r="B15" s="4">
        <v>-58</v>
      </c>
      <c r="C15" s="4">
        <v>-141</v>
      </c>
    </row>
    <row r="16" spans="1:3" ht="16" x14ac:dyDescent="0.2">
      <c r="A16" s="2" t="s">
        <v>1414</v>
      </c>
      <c r="B16" s="2" t="s">
        <v>5</v>
      </c>
      <c r="C16" s="2" t="s">
        <v>5</v>
      </c>
    </row>
    <row r="17" spans="1:3" ht="16" x14ac:dyDescent="0.2">
      <c r="A17" s="1" t="s">
        <v>1407</v>
      </c>
      <c r="B17" s="2" t="s">
        <v>5</v>
      </c>
      <c r="C17" s="2" t="s">
        <v>5</v>
      </c>
    </row>
    <row r="18" spans="1:3" ht="16" x14ac:dyDescent="0.2">
      <c r="A18" s="2" t="s">
        <v>1409</v>
      </c>
      <c r="B18" s="4">
        <v>1514</v>
      </c>
      <c r="C18" s="4">
        <v>1797</v>
      </c>
    </row>
    <row r="19" spans="1:3" ht="16" x14ac:dyDescent="0.2">
      <c r="A19" s="2" t="s">
        <v>1413</v>
      </c>
      <c r="B19" s="4">
        <v>44</v>
      </c>
      <c r="C19" s="4">
        <v>10</v>
      </c>
    </row>
    <row r="20" spans="1:3" ht="16" x14ac:dyDescent="0.2">
      <c r="A20" s="2" t="s">
        <v>177</v>
      </c>
      <c r="B20" s="4">
        <v>1558</v>
      </c>
      <c r="C20" s="4">
        <v>1807</v>
      </c>
    </row>
    <row r="21" spans="1:3" ht="16" x14ac:dyDescent="0.2">
      <c r="A21" s="2" t="s">
        <v>1415</v>
      </c>
      <c r="B21" s="2" t="s">
        <v>5</v>
      </c>
      <c r="C21" s="2" t="s">
        <v>5</v>
      </c>
    </row>
    <row r="22" spans="1:3" ht="16" x14ac:dyDescent="0.2">
      <c r="A22" s="1" t="s">
        <v>1407</v>
      </c>
      <c r="B22" s="2" t="s">
        <v>5</v>
      </c>
      <c r="C22" s="2" t="s">
        <v>5</v>
      </c>
    </row>
    <row r="23" spans="1:3" ht="16" x14ac:dyDescent="0.2">
      <c r="A23" s="2" t="s">
        <v>1410</v>
      </c>
      <c r="B23" s="4">
        <v>291</v>
      </c>
      <c r="C23" s="4">
        <v>256</v>
      </c>
    </row>
    <row r="24" spans="1:3" ht="16" x14ac:dyDescent="0.2">
      <c r="A24" s="2" t="s">
        <v>1411</v>
      </c>
      <c r="B24" s="4">
        <v>183</v>
      </c>
      <c r="C24" s="4">
        <v>195</v>
      </c>
    </row>
    <row r="25" spans="1:3" ht="16" x14ac:dyDescent="0.2">
      <c r="A25" s="2" t="s">
        <v>1412</v>
      </c>
      <c r="B25" s="4">
        <v>25</v>
      </c>
      <c r="C25" s="4">
        <v>47</v>
      </c>
    </row>
    <row r="26" spans="1:3" ht="16" x14ac:dyDescent="0.2">
      <c r="A26" s="2" t="s">
        <v>433</v>
      </c>
      <c r="B26" s="4">
        <v>122</v>
      </c>
      <c r="C26" s="4">
        <v>112</v>
      </c>
    </row>
    <row r="27" spans="1:3" ht="16" x14ac:dyDescent="0.2">
      <c r="A27" s="2" t="s">
        <v>177</v>
      </c>
      <c r="B27" s="4">
        <v>621</v>
      </c>
      <c r="C27" s="4">
        <v>610</v>
      </c>
    </row>
    <row r="28" spans="1:3" ht="16" x14ac:dyDescent="0.2">
      <c r="A28" s="2" t="s">
        <v>433</v>
      </c>
      <c r="B28" s="4">
        <v>-58</v>
      </c>
      <c r="C28" s="4">
        <v>-141</v>
      </c>
    </row>
    <row r="29" spans="1:3" ht="16" x14ac:dyDescent="0.2">
      <c r="A29" s="2" t="s">
        <v>188</v>
      </c>
      <c r="B29" s="5">
        <v>-58</v>
      </c>
      <c r="C29" s="5">
        <v>-141</v>
      </c>
    </row>
  </sheetData>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D23"/>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1416</v>
      </c>
      <c r="B1" s="61" t="s">
        <v>1</v>
      </c>
      <c r="C1" s="60"/>
      <c r="D1" s="60"/>
    </row>
    <row r="2" spans="1:4" ht="16" x14ac:dyDescent="0.2">
      <c r="A2" s="60"/>
      <c r="B2" s="12" t="s">
        <v>2</v>
      </c>
      <c r="C2" s="12" t="s">
        <v>75</v>
      </c>
      <c r="D2" s="12" t="s">
        <v>76</v>
      </c>
    </row>
    <row r="3" spans="1:4" ht="16" x14ac:dyDescent="0.2">
      <c r="A3" s="1" t="s">
        <v>1417</v>
      </c>
      <c r="B3" s="2" t="s">
        <v>5</v>
      </c>
      <c r="C3" s="2" t="s">
        <v>5</v>
      </c>
      <c r="D3" s="2" t="s">
        <v>5</v>
      </c>
    </row>
    <row r="4" spans="1:4" ht="16" x14ac:dyDescent="0.2">
      <c r="A4" s="2" t="s">
        <v>1418</v>
      </c>
      <c r="B4" s="5">
        <v>-46</v>
      </c>
      <c r="C4" s="5">
        <v>-112</v>
      </c>
      <c r="D4" s="5">
        <v>-98</v>
      </c>
    </row>
    <row r="5" spans="1:4" ht="16" x14ac:dyDescent="0.2">
      <c r="A5" s="2" t="s">
        <v>1419</v>
      </c>
      <c r="B5" s="2" t="s">
        <v>5</v>
      </c>
      <c r="C5" s="2" t="s">
        <v>5</v>
      </c>
      <c r="D5" s="2" t="s">
        <v>5</v>
      </c>
    </row>
    <row r="6" spans="1:4" ht="16" x14ac:dyDescent="0.2">
      <c r="A6" s="1" t="s">
        <v>1417</v>
      </c>
      <c r="B6" s="2" t="s">
        <v>5</v>
      </c>
      <c r="C6" s="2" t="s">
        <v>5</v>
      </c>
      <c r="D6" s="2" t="s">
        <v>5</v>
      </c>
    </row>
    <row r="7" spans="1:4" ht="16" x14ac:dyDescent="0.2">
      <c r="A7" s="2" t="s">
        <v>1420</v>
      </c>
      <c r="B7" s="4">
        <v>14</v>
      </c>
      <c r="C7" s="4">
        <v>62</v>
      </c>
      <c r="D7" s="2" t="s">
        <v>5</v>
      </c>
    </row>
    <row r="8" spans="1:4" ht="16" x14ac:dyDescent="0.2">
      <c r="A8" s="2" t="s">
        <v>1418</v>
      </c>
      <c r="B8" s="4">
        <v>-46</v>
      </c>
      <c r="C8" s="4">
        <v>-112</v>
      </c>
      <c r="D8" s="2" t="s">
        <v>5</v>
      </c>
    </row>
    <row r="9" spans="1:4" ht="16" x14ac:dyDescent="0.2">
      <c r="A9" s="2" t="s">
        <v>1421</v>
      </c>
      <c r="B9" s="2" t="s">
        <v>5</v>
      </c>
      <c r="C9" s="2" t="s">
        <v>5</v>
      </c>
      <c r="D9" s="2" t="s">
        <v>5</v>
      </c>
    </row>
    <row r="10" spans="1:4" ht="16" x14ac:dyDescent="0.2">
      <c r="A10" s="1" t="s">
        <v>1417</v>
      </c>
      <c r="B10" s="2" t="s">
        <v>5</v>
      </c>
      <c r="C10" s="2" t="s">
        <v>5</v>
      </c>
      <c r="D10" s="2" t="s">
        <v>5</v>
      </c>
    </row>
    <row r="11" spans="1:4" ht="16" x14ac:dyDescent="0.2">
      <c r="A11" s="2" t="s">
        <v>1418</v>
      </c>
      <c r="B11" s="4">
        <v>-18</v>
      </c>
      <c r="C11" s="4">
        <v>-31</v>
      </c>
      <c r="D11" s="2" t="s">
        <v>5</v>
      </c>
    </row>
    <row r="12" spans="1:4" ht="16" x14ac:dyDescent="0.2">
      <c r="A12" s="2" t="s">
        <v>1422</v>
      </c>
      <c r="B12" s="2" t="s">
        <v>5</v>
      </c>
      <c r="C12" s="2" t="s">
        <v>5</v>
      </c>
      <c r="D12" s="2" t="s">
        <v>5</v>
      </c>
    </row>
    <row r="13" spans="1:4" ht="16" x14ac:dyDescent="0.2">
      <c r="A13" s="1" t="s">
        <v>1417</v>
      </c>
      <c r="B13" s="2" t="s">
        <v>5</v>
      </c>
      <c r="C13" s="2" t="s">
        <v>5</v>
      </c>
      <c r="D13" s="2" t="s">
        <v>5</v>
      </c>
    </row>
    <row r="14" spans="1:4" ht="16" x14ac:dyDescent="0.2">
      <c r="A14" s="2" t="s">
        <v>1420</v>
      </c>
      <c r="B14" s="2" t="s">
        <v>5</v>
      </c>
      <c r="C14" s="4">
        <v>47</v>
      </c>
      <c r="D14" s="2" t="s">
        <v>5</v>
      </c>
    </row>
    <row r="15" spans="1:4" ht="16" x14ac:dyDescent="0.2">
      <c r="A15" s="2" t="s">
        <v>1418</v>
      </c>
      <c r="B15" s="2" t="s">
        <v>5</v>
      </c>
      <c r="C15" s="4">
        <v>-7</v>
      </c>
      <c r="D15" s="2" t="s">
        <v>5</v>
      </c>
    </row>
    <row r="16" spans="1:4" ht="16" x14ac:dyDescent="0.2">
      <c r="A16" s="2" t="s">
        <v>1423</v>
      </c>
      <c r="B16" s="2" t="s">
        <v>5</v>
      </c>
      <c r="C16" s="2" t="s">
        <v>5</v>
      </c>
      <c r="D16" s="2" t="s">
        <v>5</v>
      </c>
    </row>
    <row r="17" spans="1:4" ht="16" x14ac:dyDescent="0.2">
      <c r="A17" s="1" t="s">
        <v>1417</v>
      </c>
      <c r="B17" s="2" t="s">
        <v>5</v>
      </c>
      <c r="C17" s="2" t="s">
        <v>5</v>
      </c>
      <c r="D17" s="2" t="s">
        <v>5</v>
      </c>
    </row>
    <row r="18" spans="1:4" ht="16" x14ac:dyDescent="0.2">
      <c r="A18" s="2" t="s">
        <v>1420</v>
      </c>
      <c r="B18" s="4">
        <v>14</v>
      </c>
      <c r="C18" s="2" t="s">
        <v>5</v>
      </c>
      <c r="D18" s="2" t="s">
        <v>5</v>
      </c>
    </row>
    <row r="19" spans="1:4" ht="16" x14ac:dyDescent="0.2">
      <c r="A19" s="2" t="s">
        <v>1418</v>
      </c>
      <c r="B19" s="4">
        <v>-26</v>
      </c>
      <c r="C19" s="4">
        <v>-19</v>
      </c>
      <c r="D19" s="2" t="s">
        <v>5</v>
      </c>
    </row>
    <row r="20" spans="1:4" ht="16" x14ac:dyDescent="0.2">
      <c r="A20" s="2" t="s">
        <v>1424</v>
      </c>
      <c r="B20" s="2" t="s">
        <v>5</v>
      </c>
      <c r="C20" s="2" t="s">
        <v>5</v>
      </c>
      <c r="D20" s="2" t="s">
        <v>5</v>
      </c>
    </row>
    <row r="21" spans="1:4" ht="16" x14ac:dyDescent="0.2">
      <c r="A21" s="1" t="s">
        <v>1417</v>
      </c>
      <c r="B21" s="2" t="s">
        <v>5</v>
      </c>
      <c r="C21" s="2" t="s">
        <v>5</v>
      </c>
      <c r="D21" s="2" t="s">
        <v>5</v>
      </c>
    </row>
    <row r="22" spans="1:4" ht="16" x14ac:dyDescent="0.2">
      <c r="A22" s="2" t="s">
        <v>1420</v>
      </c>
      <c r="B22" s="2" t="s">
        <v>5</v>
      </c>
      <c r="C22" s="4">
        <v>15</v>
      </c>
      <c r="D22" s="2" t="s">
        <v>5</v>
      </c>
    </row>
    <row r="23" spans="1:4" ht="16" x14ac:dyDescent="0.2">
      <c r="A23" s="2" t="s">
        <v>1418</v>
      </c>
      <c r="B23" s="5">
        <v>-2</v>
      </c>
      <c r="C23" s="5">
        <v>-55</v>
      </c>
      <c r="D23" s="2" t="s">
        <v>5</v>
      </c>
    </row>
  </sheetData>
  <mergeCells count="2">
    <mergeCell ref="A1:A2"/>
    <mergeCell ref="B1:D1"/>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10"/>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1425</v>
      </c>
      <c r="B1" s="12" t="s">
        <v>2</v>
      </c>
      <c r="C1" s="12" t="s">
        <v>75</v>
      </c>
    </row>
    <row r="2" spans="1:3" ht="16" x14ac:dyDescent="0.2">
      <c r="A2" s="1" t="s">
        <v>1426</v>
      </c>
      <c r="B2" s="2" t="s">
        <v>5</v>
      </c>
      <c r="C2" s="2" t="s">
        <v>5</v>
      </c>
    </row>
    <row r="3" spans="1:3" ht="16" x14ac:dyDescent="0.2">
      <c r="A3" s="2" t="s">
        <v>1427</v>
      </c>
      <c r="B3" s="5">
        <v>257</v>
      </c>
      <c r="C3" s="5">
        <v>385</v>
      </c>
    </row>
    <row r="4" spans="1:3" ht="16" x14ac:dyDescent="0.2">
      <c r="A4" s="2" t="s">
        <v>1428</v>
      </c>
      <c r="B4" s="4">
        <v>270</v>
      </c>
      <c r="C4" s="4">
        <v>403</v>
      </c>
    </row>
    <row r="5" spans="1:3" ht="16" x14ac:dyDescent="0.2">
      <c r="A5" s="2" t="s">
        <v>1429</v>
      </c>
      <c r="B5" s="4">
        <v>-52055</v>
      </c>
      <c r="C5" s="4">
        <v>-56794</v>
      </c>
    </row>
    <row r="6" spans="1:3" ht="16" x14ac:dyDescent="0.2">
      <c r="A6" s="2" t="s">
        <v>1430</v>
      </c>
      <c r="B6" s="4">
        <v>-51039</v>
      </c>
      <c r="C6" s="4">
        <v>-52856</v>
      </c>
    </row>
    <row r="7" spans="1:3" ht="16" x14ac:dyDescent="0.2">
      <c r="A7" s="2" t="s">
        <v>1186</v>
      </c>
      <c r="B7" s="2" t="s">
        <v>5</v>
      </c>
      <c r="C7" s="2" t="s">
        <v>5</v>
      </c>
    </row>
    <row r="8" spans="1:3" ht="16" x14ac:dyDescent="0.2">
      <c r="A8" s="1" t="s">
        <v>1426</v>
      </c>
      <c r="B8" s="2" t="s">
        <v>5</v>
      </c>
      <c r="C8" s="2" t="s">
        <v>5</v>
      </c>
    </row>
    <row r="9" spans="1:3" ht="16" x14ac:dyDescent="0.2">
      <c r="A9" s="2" t="s">
        <v>1428</v>
      </c>
      <c r="B9" s="4">
        <v>270</v>
      </c>
      <c r="C9" s="4">
        <v>403</v>
      </c>
    </row>
    <row r="10" spans="1:3" ht="16" x14ac:dyDescent="0.2">
      <c r="A10" s="2" t="s">
        <v>1430</v>
      </c>
      <c r="B10" s="5">
        <v>-51039</v>
      </c>
      <c r="C10" s="5">
        <v>-52856</v>
      </c>
    </row>
  </sheetData>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B5"/>
  <sheetViews>
    <sheetView workbookViewId="0"/>
  </sheetViews>
  <sheetFormatPr baseColWidth="10" defaultColWidth="8.83203125" defaultRowHeight="15" x14ac:dyDescent="0.2"/>
  <cols>
    <col min="1" max="1" width="66" customWidth="1"/>
    <col min="2" max="2" width="22" customWidth="1"/>
  </cols>
  <sheetData>
    <row r="1" spans="1:2" ht="16" x14ac:dyDescent="0.2">
      <c r="A1" s="59" t="s">
        <v>1431</v>
      </c>
      <c r="B1" s="12" t="s">
        <v>1</v>
      </c>
    </row>
    <row r="2" spans="1:2" ht="16" x14ac:dyDescent="0.2">
      <c r="A2" s="60"/>
      <c r="B2" s="12" t="s">
        <v>1432</v>
      </c>
    </row>
    <row r="3" spans="1:2" ht="16" x14ac:dyDescent="0.2">
      <c r="A3" s="1" t="s">
        <v>385</v>
      </c>
      <c r="B3" s="2" t="s">
        <v>5</v>
      </c>
    </row>
    <row r="4" spans="1:2" ht="16" x14ac:dyDescent="0.2">
      <c r="A4" s="2" t="s">
        <v>1433</v>
      </c>
      <c r="B4" s="8">
        <v>0.8</v>
      </c>
    </row>
    <row r="5" spans="1:2" ht="16" x14ac:dyDescent="0.2">
      <c r="A5" s="2" t="s">
        <v>1434</v>
      </c>
      <c r="B5" s="5">
        <v>4200</v>
      </c>
    </row>
  </sheetData>
  <mergeCells count="1">
    <mergeCell ref="A1:A2"/>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D16"/>
  <sheetViews>
    <sheetView workbookViewId="0"/>
  </sheetViews>
  <sheetFormatPr baseColWidth="10" defaultColWidth="8.83203125" defaultRowHeight="15" x14ac:dyDescent="0.2"/>
  <cols>
    <col min="1" max="1" width="68" customWidth="1"/>
    <col min="2" max="2" width="30" customWidth="1"/>
    <col min="3" max="4" width="22" customWidth="1"/>
  </cols>
  <sheetData>
    <row r="1" spans="1:4" x14ac:dyDescent="0.2">
      <c r="A1" s="59" t="s">
        <v>1435</v>
      </c>
      <c r="B1" s="61" t="s">
        <v>1</v>
      </c>
      <c r="C1" s="60"/>
      <c r="D1" s="60"/>
    </row>
    <row r="2" spans="1:4" ht="16" x14ac:dyDescent="0.2">
      <c r="A2" s="60"/>
      <c r="B2" s="12" t="s">
        <v>609</v>
      </c>
      <c r="C2" s="12" t="s">
        <v>610</v>
      </c>
      <c r="D2" s="12" t="s">
        <v>611</v>
      </c>
    </row>
    <row r="3" spans="1:4" ht="16" x14ac:dyDescent="0.2">
      <c r="A3" s="1" t="s">
        <v>600</v>
      </c>
      <c r="B3" s="2" t="s">
        <v>5</v>
      </c>
      <c r="C3" s="2" t="s">
        <v>5</v>
      </c>
      <c r="D3" s="2" t="s">
        <v>5</v>
      </c>
    </row>
    <row r="4" spans="1:4" ht="16" x14ac:dyDescent="0.2">
      <c r="A4" s="2" t="s">
        <v>613</v>
      </c>
      <c r="B4" s="4">
        <v>3</v>
      </c>
      <c r="C4" s="2" t="s">
        <v>5</v>
      </c>
      <c r="D4" s="2" t="s">
        <v>5</v>
      </c>
    </row>
    <row r="5" spans="1:4" ht="16" x14ac:dyDescent="0.2">
      <c r="A5" s="2" t="s">
        <v>1436</v>
      </c>
      <c r="B5" s="8">
        <v>0.04</v>
      </c>
      <c r="C5" s="8">
        <v>0.04</v>
      </c>
      <c r="D5" s="2" t="s">
        <v>5</v>
      </c>
    </row>
    <row r="6" spans="1:4" ht="16" x14ac:dyDescent="0.2">
      <c r="A6" s="2" t="s">
        <v>1437</v>
      </c>
      <c r="B6" s="5">
        <v>70</v>
      </c>
      <c r="C6" s="5">
        <v>56</v>
      </c>
      <c r="D6" s="5">
        <v>40</v>
      </c>
    </row>
    <row r="7" spans="1:4" ht="16" x14ac:dyDescent="0.2">
      <c r="A7" s="2" t="s">
        <v>1438</v>
      </c>
      <c r="B7" s="5">
        <v>520195</v>
      </c>
      <c r="C7" s="2" t="s">
        <v>5</v>
      </c>
      <c r="D7" s="2" t="s">
        <v>5</v>
      </c>
    </row>
    <row r="8" spans="1:4" ht="16" x14ac:dyDescent="0.2">
      <c r="A8" s="2" t="s">
        <v>1439</v>
      </c>
      <c r="B8" s="2" t="s">
        <v>5</v>
      </c>
      <c r="C8" s="2" t="s">
        <v>5</v>
      </c>
      <c r="D8" s="2" t="s">
        <v>5</v>
      </c>
    </row>
    <row r="9" spans="1:4" ht="16" x14ac:dyDescent="0.2">
      <c r="A9" s="1" t="s">
        <v>600</v>
      </c>
      <c r="B9" s="2" t="s">
        <v>5</v>
      </c>
      <c r="C9" s="2" t="s">
        <v>5</v>
      </c>
      <c r="D9" s="2" t="s">
        <v>5</v>
      </c>
    </row>
    <row r="10" spans="1:4" ht="16" x14ac:dyDescent="0.2">
      <c r="A10" s="2" t="s">
        <v>1440</v>
      </c>
      <c r="B10" s="8">
        <v>0.16</v>
      </c>
      <c r="C10" s="2" t="s">
        <v>5</v>
      </c>
      <c r="D10" s="2" t="s">
        <v>5</v>
      </c>
    </row>
    <row r="11" spans="1:4" ht="16" x14ac:dyDescent="0.2">
      <c r="A11" s="2" t="s">
        <v>1441</v>
      </c>
      <c r="B11" s="2" t="s">
        <v>5</v>
      </c>
      <c r="C11" s="2" t="s">
        <v>5</v>
      </c>
      <c r="D11" s="2" t="s">
        <v>5</v>
      </c>
    </row>
    <row r="12" spans="1:4" ht="16" x14ac:dyDescent="0.2">
      <c r="A12" s="1" t="s">
        <v>600</v>
      </c>
      <c r="B12" s="2" t="s">
        <v>5</v>
      </c>
      <c r="C12" s="2" t="s">
        <v>5</v>
      </c>
      <c r="D12" s="2" t="s">
        <v>5</v>
      </c>
    </row>
    <row r="13" spans="1:4" ht="16" x14ac:dyDescent="0.2">
      <c r="A13" s="2" t="s">
        <v>1440</v>
      </c>
      <c r="B13" s="8">
        <v>0.62</v>
      </c>
      <c r="C13" s="2" t="s">
        <v>5</v>
      </c>
      <c r="D13" s="2" t="s">
        <v>5</v>
      </c>
    </row>
    <row r="14" spans="1:4" ht="16" x14ac:dyDescent="0.2">
      <c r="A14" s="2" t="s">
        <v>1442</v>
      </c>
      <c r="B14" s="2" t="s">
        <v>5</v>
      </c>
      <c r="C14" s="2" t="s">
        <v>5</v>
      </c>
      <c r="D14" s="2" t="s">
        <v>5</v>
      </c>
    </row>
    <row r="15" spans="1:4" ht="16" x14ac:dyDescent="0.2">
      <c r="A15" s="1" t="s">
        <v>600</v>
      </c>
      <c r="B15" s="2" t="s">
        <v>5</v>
      </c>
      <c r="C15" s="2" t="s">
        <v>5</v>
      </c>
      <c r="D15" s="2" t="s">
        <v>5</v>
      </c>
    </row>
    <row r="16" spans="1:4" ht="16" x14ac:dyDescent="0.2">
      <c r="A16" s="2" t="s">
        <v>1443</v>
      </c>
      <c r="B16" s="8">
        <v>0.37</v>
      </c>
      <c r="C16" s="8">
        <v>0.4</v>
      </c>
      <c r="D16" s="8">
        <v>0.49</v>
      </c>
    </row>
  </sheetData>
  <mergeCells count="2">
    <mergeCell ref="A1:A2"/>
    <mergeCell ref="B1:D1"/>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D52"/>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1444</v>
      </c>
      <c r="B1" s="61" t="s">
        <v>1</v>
      </c>
      <c r="C1" s="60"/>
      <c r="D1" s="60"/>
    </row>
    <row r="2" spans="1:4" ht="16" x14ac:dyDescent="0.2">
      <c r="A2" s="60"/>
      <c r="B2" s="12" t="s">
        <v>2</v>
      </c>
      <c r="C2" s="12" t="s">
        <v>75</v>
      </c>
      <c r="D2" s="12" t="s">
        <v>76</v>
      </c>
    </row>
    <row r="3" spans="1:4" ht="16" x14ac:dyDescent="0.2">
      <c r="A3" s="1" t="s">
        <v>1445</v>
      </c>
      <c r="B3" s="2" t="s">
        <v>5</v>
      </c>
      <c r="C3" s="2" t="s">
        <v>5</v>
      </c>
      <c r="D3" s="2" t="s">
        <v>5</v>
      </c>
    </row>
    <row r="4" spans="1:4" ht="16" x14ac:dyDescent="0.2">
      <c r="A4" s="2" t="s">
        <v>77</v>
      </c>
      <c r="B4" s="5">
        <v>77794</v>
      </c>
      <c r="C4" s="5">
        <v>66608</v>
      </c>
      <c r="D4" s="5">
        <v>62286</v>
      </c>
    </row>
    <row r="5" spans="1:4" ht="16" x14ac:dyDescent="0.2">
      <c r="A5" s="2" t="s">
        <v>603</v>
      </c>
      <c r="B5" s="2" t="s">
        <v>5</v>
      </c>
      <c r="C5" s="2" t="s">
        <v>5</v>
      </c>
      <c r="D5" s="2" t="s">
        <v>5</v>
      </c>
    </row>
    <row r="6" spans="1:4" ht="16" x14ac:dyDescent="0.2">
      <c r="A6" s="1" t="s">
        <v>1445</v>
      </c>
      <c r="B6" s="2" t="s">
        <v>5</v>
      </c>
      <c r="C6" s="2" t="s">
        <v>5</v>
      </c>
      <c r="D6" s="2" t="s">
        <v>5</v>
      </c>
    </row>
    <row r="7" spans="1:4" ht="16" x14ac:dyDescent="0.2">
      <c r="A7" s="2" t="s">
        <v>77</v>
      </c>
      <c r="B7" s="4">
        <v>33901</v>
      </c>
      <c r="C7" s="4">
        <v>26026</v>
      </c>
      <c r="D7" s="4">
        <v>19714</v>
      </c>
    </row>
    <row r="8" spans="1:4" ht="16" x14ac:dyDescent="0.2">
      <c r="A8" s="2" t="s">
        <v>1446</v>
      </c>
      <c r="B8" s="2" t="s">
        <v>5</v>
      </c>
      <c r="C8" s="2" t="s">
        <v>5</v>
      </c>
      <c r="D8" s="2" t="s">
        <v>5</v>
      </c>
    </row>
    <row r="9" spans="1:4" ht="16" x14ac:dyDescent="0.2">
      <c r="A9" s="1" t="s">
        <v>1445</v>
      </c>
      <c r="B9" s="2" t="s">
        <v>5</v>
      </c>
      <c r="C9" s="2" t="s">
        <v>5</v>
      </c>
      <c r="D9" s="2" t="s">
        <v>5</v>
      </c>
    </row>
    <row r="10" spans="1:4" ht="16" x14ac:dyDescent="0.2">
      <c r="A10" s="2" t="s">
        <v>1447</v>
      </c>
      <c r="B10" s="4">
        <v>27</v>
      </c>
      <c r="C10" s="4">
        <v>16</v>
      </c>
      <c r="D10" s="4">
        <v>14</v>
      </c>
    </row>
    <row r="11" spans="1:4" ht="16" x14ac:dyDescent="0.2">
      <c r="A11" s="2" t="s">
        <v>1448</v>
      </c>
      <c r="B11" s="2" t="s">
        <v>5</v>
      </c>
      <c r="C11" s="2" t="s">
        <v>5</v>
      </c>
      <c r="D11" s="2" t="s">
        <v>5</v>
      </c>
    </row>
    <row r="12" spans="1:4" ht="16" x14ac:dyDescent="0.2">
      <c r="A12" s="1" t="s">
        <v>1445</v>
      </c>
      <c r="B12" s="2" t="s">
        <v>5</v>
      </c>
      <c r="C12" s="2" t="s">
        <v>5</v>
      </c>
      <c r="D12" s="2" t="s">
        <v>5</v>
      </c>
    </row>
    <row r="13" spans="1:4" ht="16" x14ac:dyDescent="0.2">
      <c r="A13" s="2" t="s">
        <v>77</v>
      </c>
      <c r="B13" s="4">
        <v>32387</v>
      </c>
      <c r="C13" s="4">
        <v>27374</v>
      </c>
      <c r="D13" s="4">
        <v>23196</v>
      </c>
    </row>
    <row r="14" spans="1:4" ht="16" x14ac:dyDescent="0.2">
      <c r="A14" s="2" t="s">
        <v>1449</v>
      </c>
      <c r="B14" s="2" t="s">
        <v>5</v>
      </c>
      <c r="C14" s="2" t="s">
        <v>5</v>
      </c>
      <c r="D14" s="2" t="s">
        <v>5</v>
      </c>
    </row>
    <row r="15" spans="1:4" ht="16" x14ac:dyDescent="0.2">
      <c r="A15" s="1" t="s">
        <v>1445</v>
      </c>
      <c r="B15" s="2" t="s">
        <v>5</v>
      </c>
      <c r="C15" s="2" t="s">
        <v>5</v>
      </c>
      <c r="D15" s="2" t="s">
        <v>5</v>
      </c>
    </row>
    <row r="16" spans="1:4" ht="16" x14ac:dyDescent="0.2">
      <c r="A16" s="2" t="s">
        <v>1447</v>
      </c>
      <c r="B16" s="4">
        <v>19242</v>
      </c>
      <c r="C16" s="4">
        <v>13618</v>
      </c>
      <c r="D16" s="4">
        <v>9984</v>
      </c>
    </row>
    <row r="17" spans="1:4" ht="16" x14ac:dyDescent="0.2">
      <c r="A17" s="2" t="s">
        <v>1450</v>
      </c>
      <c r="B17" s="2" t="s">
        <v>5</v>
      </c>
      <c r="C17" s="2" t="s">
        <v>5</v>
      </c>
      <c r="D17" s="2" t="s">
        <v>5</v>
      </c>
    </row>
    <row r="18" spans="1:4" ht="16" x14ac:dyDescent="0.2">
      <c r="A18" s="1" t="s">
        <v>1445</v>
      </c>
      <c r="B18" s="2" t="s">
        <v>5</v>
      </c>
      <c r="C18" s="2" t="s">
        <v>5</v>
      </c>
      <c r="D18" s="2" t="s">
        <v>5</v>
      </c>
    </row>
    <row r="19" spans="1:4" ht="16" x14ac:dyDescent="0.2">
      <c r="A19" s="2" t="s">
        <v>77</v>
      </c>
      <c r="B19" s="4">
        <v>10520</v>
      </c>
      <c r="C19" s="4">
        <v>7916</v>
      </c>
      <c r="D19" s="4">
        <v>8967</v>
      </c>
    </row>
    <row r="20" spans="1:4" ht="16" x14ac:dyDescent="0.2">
      <c r="A20" s="2" t="s">
        <v>1451</v>
      </c>
      <c r="B20" s="2" t="s">
        <v>5</v>
      </c>
      <c r="C20" s="2" t="s">
        <v>5</v>
      </c>
      <c r="D20" s="2" t="s">
        <v>5</v>
      </c>
    </row>
    <row r="21" spans="1:4" ht="16" x14ac:dyDescent="0.2">
      <c r="A21" s="1" t="s">
        <v>1445</v>
      </c>
      <c r="B21" s="2" t="s">
        <v>5</v>
      </c>
      <c r="C21" s="2" t="s">
        <v>5</v>
      </c>
      <c r="D21" s="2" t="s">
        <v>5</v>
      </c>
    </row>
    <row r="22" spans="1:4" ht="16" x14ac:dyDescent="0.2">
      <c r="A22" s="2" t="s">
        <v>1447</v>
      </c>
      <c r="B22" s="4">
        <v>6172</v>
      </c>
      <c r="C22" s="4">
        <v>4085</v>
      </c>
      <c r="D22" s="4">
        <v>4387</v>
      </c>
    </row>
    <row r="23" spans="1:4" ht="16" x14ac:dyDescent="0.2">
      <c r="A23" s="2" t="s">
        <v>1452</v>
      </c>
      <c r="B23" s="2" t="s">
        <v>5</v>
      </c>
      <c r="C23" s="2" t="s">
        <v>5</v>
      </c>
      <c r="D23" s="2" t="s">
        <v>5</v>
      </c>
    </row>
    <row r="24" spans="1:4" ht="16" x14ac:dyDescent="0.2">
      <c r="A24" s="1" t="s">
        <v>1445</v>
      </c>
      <c r="B24" s="2" t="s">
        <v>5</v>
      </c>
      <c r="C24" s="2" t="s">
        <v>5</v>
      </c>
      <c r="D24" s="2" t="s">
        <v>5</v>
      </c>
    </row>
    <row r="25" spans="1:4" ht="16" x14ac:dyDescent="0.2">
      <c r="A25" s="2" t="s">
        <v>77</v>
      </c>
      <c r="B25" s="4">
        <v>10013</v>
      </c>
      <c r="C25" s="4">
        <v>8393</v>
      </c>
      <c r="D25" s="4">
        <v>5845</v>
      </c>
    </row>
    <row r="26" spans="1:4" ht="16" x14ac:dyDescent="0.2">
      <c r="A26" s="2" t="s">
        <v>1453</v>
      </c>
      <c r="B26" s="2" t="s">
        <v>5</v>
      </c>
      <c r="C26" s="2" t="s">
        <v>5</v>
      </c>
      <c r="D26" s="2" t="s">
        <v>5</v>
      </c>
    </row>
    <row r="27" spans="1:4" ht="16" x14ac:dyDescent="0.2">
      <c r="A27" s="1" t="s">
        <v>1445</v>
      </c>
      <c r="B27" s="2" t="s">
        <v>5</v>
      </c>
      <c r="C27" s="2" t="s">
        <v>5</v>
      </c>
      <c r="D27" s="2" t="s">
        <v>5</v>
      </c>
    </row>
    <row r="28" spans="1:4" ht="16" x14ac:dyDescent="0.2">
      <c r="A28" s="2" t="s">
        <v>1447</v>
      </c>
      <c r="B28" s="4">
        <v>6328</v>
      </c>
      <c r="C28" s="4">
        <v>4488</v>
      </c>
      <c r="D28" s="4">
        <v>2816</v>
      </c>
    </row>
    <row r="29" spans="1:4" ht="16" x14ac:dyDescent="0.2">
      <c r="A29" s="2" t="s">
        <v>1454</v>
      </c>
      <c r="B29" s="2" t="s">
        <v>5</v>
      </c>
      <c r="C29" s="2" t="s">
        <v>5</v>
      </c>
      <c r="D29" s="2" t="s">
        <v>5</v>
      </c>
    </row>
    <row r="30" spans="1:4" ht="16" x14ac:dyDescent="0.2">
      <c r="A30" s="1" t="s">
        <v>1445</v>
      </c>
      <c r="B30" s="2" t="s">
        <v>5</v>
      </c>
      <c r="C30" s="2" t="s">
        <v>5</v>
      </c>
      <c r="D30" s="2" t="s">
        <v>5</v>
      </c>
    </row>
    <row r="31" spans="1:4" ht="16" x14ac:dyDescent="0.2">
      <c r="A31" s="2" t="s">
        <v>77</v>
      </c>
      <c r="B31" s="4">
        <v>6594</v>
      </c>
      <c r="C31" s="4">
        <v>5047</v>
      </c>
      <c r="D31" s="4">
        <v>4653</v>
      </c>
    </row>
    <row r="32" spans="1:4" ht="16" x14ac:dyDescent="0.2">
      <c r="A32" s="2" t="s">
        <v>1455</v>
      </c>
      <c r="B32" s="2" t="s">
        <v>5</v>
      </c>
      <c r="C32" s="2" t="s">
        <v>5</v>
      </c>
      <c r="D32" s="2" t="s">
        <v>5</v>
      </c>
    </row>
    <row r="33" spans="1:4" ht="16" x14ac:dyDescent="0.2">
      <c r="A33" s="1" t="s">
        <v>1445</v>
      </c>
      <c r="B33" s="2" t="s">
        <v>5</v>
      </c>
      <c r="C33" s="2" t="s">
        <v>5</v>
      </c>
      <c r="D33" s="2" t="s">
        <v>5</v>
      </c>
    </row>
    <row r="34" spans="1:4" ht="16" x14ac:dyDescent="0.2">
      <c r="A34" s="2" t="s">
        <v>1447</v>
      </c>
      <c r="B34" s="4">
        <v>4311</v>
      </c>
      <c r="C34" s="4">
        <v>2003</v>
      </c>
      <c r="D34" s="4">
        <v>1098</v>
      </c>
    </row>
    <row r="35" spans="1:4" ht="16" x14ac:dyDescent="0.2">
      <c r="A35" s="2" t="s">
        <v>1456</v>
      </c>
      <c r="B35" s="2" t="s">
        <v>5</v>
      </c>
      <c r="C35" s="2" t="s">
        <v>5</v>
      </c>
      <c r="D35" s="2" t="s">
        <v>5</v>
      </c>
    </row>
    <row r="36" spans="1:4" ht="16" x14ac:dyDescent="0.2">
      <c r="A36" s="1" t="s">
        <v>1445</v>
      </c>
      <c r="B36" s="2" t="s">
        <v>5</v>
      </c>
      <c r="C36" s="2" t="s">
        <v>5</v>
      </c>
      <c r="D36" s="2" t="s">
        <v>5</v>
      </c>
    </row>
    <row r="37" spans="1:4" ht="16" x14ac:dyDescent="0.2">
      <c r="A37" s="2" t="s">
        <v>77</v>
      </c>
      <c r="B37" s="4">
        <v>1256</v>
      </c>
      <c r="C37" s="4">
        <v>1612</v>
      </c>
      <c r="D37" s="4">
        <v>969</v>
      </c>
    </row>
    <row r="38" spans="1:4" ht="16" x14ac:dyDescent="0.2">
      <c r="A38" s="2" t="s">
        <v>1457</v>
      </c>
      <c r="B38" s="2" t="s">
        <v>5</v>
      </c>
      <c r="C38" s="2" t="s">
        <v>5</v>
      </c>
      <c r="D38" s="2" t="s">
        <v>5</v>
      </c>
    </row>
    <row r="39" spans="1:4" ht="16" x14ac:dyDescent="0.2">
      <c r="A39" s="1" t="s">
        <v>1445</v>
      </c>
      <c r="B39" s="2" t="s">
        <v>5</v>
      </c>
      <c r="C39" s="2" t="s">
        <v>5</v>
      </c>
      <c r="D39" s="2" t="s">
        <v>5</v>
      </c>
    </row>
    <row r="40" spans="1:4" ht="16" x14ac:dyDescent="0.2">
      <c r="A40" s="2" t="s">
        <v>77</v>
      </c>
      <c r="B40" s="4">
        <v>1655</v>
      </c>
      <c r="C40" s="4">
        <v>1576</v>
      </c>
      <c r="D40" s="4">
        <v>1147</v>
      </c>
    </row>
    <row r="41" spans="1:4" ht="16" x14ac:dyDescent="0.2">
      <c r="A41" s="2" t="s">
        <v>1458</v>
      </c>
      <c r="B41" s="2" t="s">
        <v>5</v>
      </c>
      <c r="C41" s="2" t="s">
        <v>5</v>
      </c>
      <c r="D41" s="2" t="s">
        <v>5</v>
      </c>
    </row>
    <row r="42" spans="1:4" ht="16" x14ac:dyDescent="0.2">
      <c r="A42" s="1" t="s">
        <v>1445</v>
      </c>
      <c r="B42" s="2" t="s">
        <v>5</v>
      </c>
      <c r="C42" s="2" t="s">
        <v>5</v>
      </c>
      <c r="D42" s="2" t="s">
        <v>5</v>
      </c>
    </row>
    <row r="43" spans="1:4" ht="16" x14ac:dyDescent="0.2">
      <c r="A43" s="2" t="s">
        <v>77</v>
      </c>
      <c r="B43" s="4">
        <v>825</v>
      </c>
      <c r="C43" s="4">
        <v>418</v>
      </c>
      <c r="D43" s="4">
        <v>239</v>
      </c>
    </row>
    <row r="44" spans="1:4" ht="16" x14ac:dyDescent="0.2">
      <c r="A44" s="2" t="s">
        <v>1459</v>
      </c>
      <c r="B44" s="2" t="s">
        <v>5</v>
      </c>
      <c r="C44" s="2" t="s">
        <v>5</v>
      </c>
      <c r="D44" s="2" t="s">
        <v>5</v>
      </c>
    </row>
    <row r="45" spans="1:4" ht="16" x14ac:dyDescent="0.2">
      <c r="A45" s="1" t="s">
        <v>1445</v>
      </c>
      <c r="B45" s="2" t="s">
        <v>5</v>
      </c>
      <c r="C45" s="2" t="s">
        <v>5</v>
      </c>
      <c r="D45" s="2" t="s">
        <v>5</v>
      </c>
    </row>
    <row r="46" spans="1:4" ht="16" x14ac:dyDescent="0.2">
      <c r="A46" s="2" t="s">
        <v>77</v>
      </c>
      <c r="B46" s="4">
        <v>1524</v>
      </c>
      <c r="C46" s="4">
        <v>2412</v>
      </c>
      <c r="D46" s="4">
        <v>1376</v>
      </c>
    </row>
    <row r="47" spans="1:4" ht="16" x14ac:dyDescent="0.2">
      <c r="A47" s="2" t="s">
        <v>1460</v>
      </c>
      <c r="B47" s="2" t="s">
        <v>5</v>
      </c>
      <c r="C47" s="2" t="s">
        <v>5</v>
      </c>
      <c r="D47" s="2" t="s">
        <v>5</v>
      </c>
    </row>
    <row r="48" spans="1:4" ht="16" x14ac:dyDescent="0.2">
      <c r="A48" s="1" t="s">
        <v>1445</v>
      </c>
      <c r="B48" s="2" t="s">
        <v>5</v>
      </c>
      <c r="C48" s="2" t="s">
        <v>5</v>
      </c>
      <c r="D48" s="2" t="s">
        <v>5</v>
      </c>
    </row>
    <row r="49" spans="1:4" ht="16" x14ac:dyDescent="0.2">
      <c r="A49" s="2" t="s">
        <v>77</v>
      </c>
      <c r="B49" s="4">
        <v>45380</v>
      </c>
      <c r="C49" s="4">
        <v>39218</v>
      </c>
      <c r="D49" s="4">
        <v>39076</v>
      </c>
    </row>
    <row r="50" spans="1:4" ht="16" x14ac:dyDescent="0.2">
      <c r="A50" s="2" t="s">
        <v>1461</v>
      </c>
      <c r="B50" s="2" t="s">
        <v>5</v>
      </c>
      <c r="C50" s="2" t="s">
        <v>5</v>
      </c>
      <c r="D50" s="2" t="s">
        <v>5</v>
      </c>
    </row>
    <row r="51" spans="1:4" ht="16" x14ac:dyDescent="0.2">
      <c r="A51" s="1" t="s">
        <v>1445</v>
      </c>
      <c r="B51" s="2" t="s">
        <v>5</v>
      </c>
      <c r="C51" s="2" t="s">
        <v>5</v>
      </c>
      <c r="D51" s="2" t="s">
        <v>5</v>
      </c>
    </row>
    <row r="52" spans="1:4" ht="16" x14ac:dyDescent="0.2">
      <c r="A52" s="2" t="s">
        <v>1447</v>
      </c>
      <c r="B52" s="5">
        <v>14501</v>
      </c>
      <c r="C52" s="5">
        <v>12275</v>
      </c>
      <c r="D52" s="5">
        <v>9614</v>
      </c>
    </row>
  </sheetData>
  <mergeCells count="2">
    <mergeCell ref="A1:A2"/>
    <mergeCell ref="B1:D1"/>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D97"/>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1462</v>
      </c>
      <c r="B1" s="61" t="s">
        <v>1</v>
      </c>
      <c r="C1" s="60"/>
      <c r="D1" s="60"/>
    </row>
    <row r="2" spans="1:4" ht="16" x14ac:dyDescent="0.2">
      <c r="A2" s="60"/>
      <c r="B2" s="12" t="s">
        <v>2</v>
      </c>
      <c r="C2" s="12" t="s">
        <v>75</v>
      </c>
      <c r="D2" s="12" t="s">
        <v>76</v>
      </c>
    </row>
    <row r="3" spans="1:4" ht="16" x14ac:dyDescent="0.2">
      <c r="A3" s="1" t="s">
        <v>1463</v>
      </c>
      <c r="B3" s="2" t="s">
        <v>5</v>
      </c>
      <c r="C3" s="2" t="s">
        <v>5</v>
      </c>
      <c r="D3" s="2" t="s">
        <v>5</v>
      </c>
    </row>
    <row r="4" spans="1:4" ht="16" x14ac:dyDescent="0.2">
      <c r="A4" s="2" t="s">
        <v>77</v>
      </c>
      <c r="B4" s="5">
        <v>77794</v>
      </c>
      <c r="C4" s="5">
        <v>66608</v>
      </c>
      <c r="D4" s="5">
        <v>62286</v>
      </c>
    </row>
    <row r="5" spans="1:4" ht="16" x14ac:dyDescent="0.2">
      <c r="A5" s="2" t="s">
        <v>1452</v>
      </c>
      <c r="B5" s="2" t="s">
        <v>5</v>
      </c>
      <c r="C5" s="2" t="s">
        <v>5</v>
      </c>
      <c r="D5" s="2" t="s">
        <v>5</v>
      </c>
    </row>
    <row r="6" spans="1:4" ht="16" x14ac:dyDescent="0.2">
      <c r="A6" s="1" t="s">
        <v>1463</v>
      </c>
      <c r="B6" s="2" t="s">
        <v>5</v>
      </c>
      <c r="C6" s="2" t="s">
        <v>5</v>
      </c>
      <c r="D6" s="2" t="s">
        <v>5</v>
      </c>
    </row>
    <row r="7" spans="1:4" ht="16" x14ac:dyDescent="0.2">
      <c r="A7" s="2" t="s">
        <v>77</v>
      </c>
      <c r="B7" s="4">
        <v>10013</v>
      </c>
      <c r="C7" s="4">
        <v>8393</v>
      </c>
      <c r="D7" s="4">
        <v>5845</v>
      </c>
    </row>
    <row r="8" spans="1:4" ht="16" x14ac:dyDescent="0.2">
      <c r="A8" s="2" t="s">
        <v>1450</v>
      </c>
      <c r="B8" s="2" t="s">
        <v>5</v>
      </c>
      <c r="C8" s="2" t="s">
        <v>5</v>
      </c>
      <c r="D8" s="2" t="s">
        <v>5</v>
      </c>
    </row>
    <row r="9" spans="1:4" ht="16" x14ac:dyDescent="0.2">
      <c r="A9" s="1" t="s">
        <v>1463</v>
      </c>
      <c r="B9" s="2" t="s">
        <v>5</v>
      </c>
      <c r="C9" s="2" t="s">
        <v>5</v>
      </c>
      <c r="D9" s="2" t="s">
        <v>5</v>
      </c>
    </row>
    <row r="10" spans="1:4" ht="16" x14ac:dyDescent="0.2">
      <c r="A10" s="2" t="s">
        <v>77</v>
      </c>
      <c r="B10" s="4">
        <v>10520</v>
      </c>
      <c r="C10" s="4">
        <v>7916</v>
      </c>
      <c r="D10" s="4">
        <v>8967</v>
      </c>
    </row>
    <row r="11" spans="1:4" ht="16" x14ac:dyDescent="0.2">
      <c r="A11" s="2" t="s">
        <v>1454</v>
      </c>
      <c r="B11" s="2" t="s">
        <v>5</v>
      </c>
      <c r="C11" s="2" t="s">
        <v>5</v>
      </c>
      <c r="D11" s="2" t="s">
        <v>5</v>
      </c>
    </row>
    <row r="12" spans="1:4" ht="16" x14ac:dyDescent="0.2">
      <c r="A12" s="1" t="s">
        <v>1463</v>
      </c>
      <c r="B12" s="2" t="s">
        <v>5</v>
      </c>
      <c r="C12" s="2" t="s">
        <v>5</v>
      </c>
      <c r="D12" s="2" t="s">
        <v>5</v>
      </c>
    </row>
    <row r="13" spans="1:4" ht="16" x14ac:dyDescent="0.2">
      <c r="A13" s="2" t="s">
        <v>77</v>
      </c>
      <c r="B13" s="4">
        <v>6594</v>
      </c>
      <c r="C13" s="4">
        <v>5047</v>
      </c>
      <c r="D13" s="4">
        <v>4653</v>
      </c>
    </row>
    <row r="14" spans="1:4" ht="16" x14ac:dyDescent="0.2">
      <c r="A14" s="2" t="s">
        <v>1448</v>
      </c>
      <c r="B14" s="2" t="s">
        <v>5</v>
      </c>
      <c r="C14" s="2" t="s">
        <v>5</v>
      </c>
      <c r="D14" s="2" t="s">
        <v>5</v>
      </c>
    </row>
    <row r="15" spans="1:4" ht="16" x14ac:dyDescent="0.2">
      <c r="A15" s="1" t="s">
        <v>1463</v>
      </c>
      <c r="B15" s="2" t="s">
        <v>5</v>
      </c>
      <c r="C15" s="2" t="s">
        <v>5</v>
      </c>
      <c r="D15" s="2" t="s">
        <v>5</v>
      </c>
    </row>
    <row r="16" spans="1:4" ht="16" x14ac:dyDescent="0.2">
      <c r="A16" s="2" t="s">
        <v>77</v>
      </c>
      <c r="B16" s="4">
        <v>32387</v>
      </c>
      <c r="C16" s="4">
        <v>27374</v>
      </c>
      <c r="D16" s="4">
        <v>23196</v>
      </c>
    </row>
    <row r="17" spans="1:4" ht="16" x14ac:dyDescent="0.2">
      <c r="A17" s="2" t="s">
        <v>1460</v>
      </c>
      <c r="B17" s="2" t="s">
        <v>5</v>
      </c>
      <c r="C17" s="2" t="s">
        <v>5</v>
      </c>
      <c r="D17" s="2" t="s">
        <v>5</v>
      </c>
    </row>
    <row r="18" spans="1:4" ht="16" x14ac:dyDescent="0.2">
      <c r="A18" s="1" t="s">
        <v>1463</v>
      </c>
      <c r="B18" s="2" t="s">
        <v>5</v>
      </c>
      <c r="C18" s="2" t="s">
        <v>5</v>
      </c>
      <c r="D18" s="2" t="s">
        <v>5</v>
      </c>
    </row>
    <row r="19" spans="1:4" ht="16" x14ac:dyDescent="0.2">
      <c r="A19" s="2" t="s">
        <v>77</v>
      </c>
      <c r="B19" s="4">
        <v>45380</v>
      </c>
      <c r="C19" s="4">
        <v>39218</v>
      </c>
      <c r="D19" s="4">
        <v>39076</v>
      </c>
    </row>
    <row r="20" spans="1:4" ht="16" x14ac:dyDescent="0.2">
      <c r="A20" s="2" t="s">
        <v>603</v>
      </c>
      <c r="B20" s="2" t="s">
        <v>5</v>
      </c>
      <c r="C20" s="2" t="s">
        <v>5</v>
      </c>
      <c r="D20" s="2" t="s">
        <v>5</v>
      </c>
    </row>
    <row r="21" spans="1:4" ht="16" x14ac:dyDescent="0.2">
      <c r="A21" s="1" t="s">
        <v>1463</v>
      </c>
      <c r="B21" s="2" t="s">
        <v>5</v>
      </c>
      <c r="C21" s="2" t="s">
        <v>5</v>
      </c>
      <c r="D21" s="2" t="s">
        <v>5</v>
      </c>
    </row>
    <row r="22" spans="1:4" ht="16" x14ac:dyDescent="0.2">
      <c r="A22" s="2" t="s">
        <v>77</v>
      </c>
      <c r="B22" s="4">
        <v>33901</v>
      </c>
      <c r="C22" s="4">
        <v>26026</v>
      </c>
      <c r="D22" s="4">
        <v>19714</v>
      </c>
    </row>
    <row r="23" spans="1:4" ht="16" x14ac:dyDescent="0.2">
      <c r="A23" s="2" t="s">
        <v>1446</v>
      </c>
      <c r="B23" s="2" t="s">
        <v>5</v>
      </c>
      <c r="C23" s="2" t="s">
        <v>5</v>
      </c>
      <c r="D23" s="2" t="s">
        <v>5</v>
      </c>
    </row>
    <row r="24" spans="1:4" ht="16" x14ac:dyDescent="0.2">
      <c r="A24" s="1" t="s">
        <v>1463</v>
      </c>
      <c r="B24" s="2" t="s">
        <v>5</v>
      </c>
      <c r="C24" s="2" t="s">
        <v>5</v>
      </c>
      <c r="D24" s="2" t="s">
        <v>5</v>
      </c>
    </row>
    <row r="25" spans="1:4" ht="16" x14ac:dyDescent="0.2">
      <c r="A25" s="2" t="s">
        <v>1447</v>
      </c>
      <c r="B25" s="4">
        <v>27</v>
      </c>
      <c r="C25" s="4">
        <v>16</v>
      </c>
      <c r="D25" s="4">
        <v>14</v>
      </c>
    </row>
    <row r="26" spans="1:4" ht="16" x14ac:dyDescent="0.2">
      <c r="A26" s="2" t="s">
        <v>1464</v>
      </c>
      <c r="B26" s="2" t="s">
        <v>5</v>
      </c>
      <c r="C26" s="2" t="s">
        <v>5</v>
      </c>
      <c r="D26" s="2" t="s">
        <v>5</v>
      </c>
    </row>
    <row r="27" spans="1:4" ht="16" x14ac:dyDescent="0.2">
      <c r="A27" s="1" t="s">
        <v>1463</v>
      </c>
      <c r="B27" s="2" t="s">
        <v>5</v>
      </c>
      <c r="C27" s="2" t="s">
        <v>5</v>
      </c>
      <c r="D27" s="2" t="s">
        <v>5</v>
      </c>
    </row>
    <row r="28" spans="1:4" ht="16" x14ac:dyDescent="0.2">
      <c r="A28" s="2" t="s">
        <v>1447</v>
      </c>
      <c r="B28" s="5">
        <v>33770</v>
      </c>
      <c r="C28" s="5">
        <v>25909</v>
      </c>
      <c r="D28" s="5">
        <v>19612</v>
      </c>
    </row>
    <row r="29" spans="1:4" ht="16" x14ac:dyDescent="0.2">
      <c r="A29" s="2" t="s">
        <v>1465</v>
      </c>
      <c r="B29" s="2" t="s">
        <v>5</v>
      </c>
      <c r="C29" s="2" t="s">
        <v>5</v>
      </c>
      <c r="D29" s="2" t="s">
        <v>5</v>
      </c>
    </row>
    <row r="30" spans="1:4" ht="16" x14ac:dyDescent="0.2">
      <c r="A30" s="1" t="s">
        <v>1463</v>
      </c>
      <c r="B30" s="2" t="s">
        <v>5</v>
      </c>
      <c r="C30" s="2" t="s">
        <v>5</v>
      </c>
      <c r="D30" s="2" t="s">
        <v>5</v>
      </c>
    </row>
    <row r="31" spans="1:4" ht="16" x14ac:dyDescent="0.2">
      <c r="A31" s="2" t="s">
        <v>1466</v>
      </c>
      <c r="B31" s="8">
        <v>1</v>
      </c>
      <c r="C31" s="8">
        <v>1</v>
      </c>
      <c r="D31" s="8">
        <v>1</v>
      </c>
    </row>
    <row r="32" spans="1:4" ht="16" x14ac:dyDescent="0.2">
      <c r="A32" s="2" t="s">
        <v>1467</v>
      </c>
      <c r="B32" s="2" t="s">
        <v>5</v>
      </c>
      <c r="C32" s="2" t="s">
        <v>5</v>
      </c>
      <c r="D32" s="2" t="s">
        <v>5</v>
      </c>
    </row>
    <row r="33" spans="1:4" ht="16" x14ac:dyDescent="0.2">
      <c r="A33" s="1" t="s">
        <v>1463</v>
      </c>
      <c r="B33" s="2" t="s">
        <v>5</v>
      </c>
      <c r="C33" s="2" t="s">
        <v>5</v>
      </c>
      <c r="D33" s="2" t="s">
        <v>5</v>
      </c>
    </row>
    <row r="34" spans="1:4" ht="16" x14ac:dyDescent="0.2">
      <c r="A34" s="2" t="s">
        <v>1466</v>
      </c>
      <c r="B34" s="8">
        <v>0.99</v>
      </c>
      <c r="C34" s="8">
        <v>0.99</v>
      </c>
      <c r="D34" s="8">
        <v>0.99</v>
      </c>
    </row>
    <row r="35" spans="1:4" ht="16" x14ac:dyDescent="0.2">
      <c r="A35" s="2" t="s">
        <v>1468</v>
      </c>
      <c r="B35" s="2" t="s">
        <v>5</v>
      </c>
      <c r="C35" s="2" t="s">
        <v>5</v>
      </c>
      <c r="D35" s="2" t="s">
        <v>5</v>
      </c>
    </row>
    <row r="36" spans="1:4" ht="16" x14ac:dyDescent="0.2">
      <c r="A36" s="1" t="s">
        <v>1463</v>
      </c>
      <c r="B36" s="2" t="s">
        <v>5</v>
      </c>
      <c r="C36" s="2" t="s">
        <v>5</v>
      </c>
      <c r="D36" s="2" t="s">
        <v>5</v>
      </c>
    </row>
    <row r="37" spans="1:4" ht="16" x14ac:dyDescent="0.2">
      <c r="A37" s="2" t="s">
        <v>1447</v>
      </c>
      <c r="B37" s="5">
        <v>6328</v>
      </c>
      <c r="C37" s="5">
        <v>4488</v>
      </c>
      <c r="D37" s="5">
        <v>2816</v>
      </c>
    </row>
    <row r="38" spans="1:4" ht="16" x14ac:dyDescent="0.2">
      <c r="A38" s="2" t="s">
        <v>1469</v>
      </c>
      <c r="B38" s="2" t="s">
        <v>5</v>
      </c>
      <c r="C38" s="2" t="s">
        <v>5</v>
      </c>
      <c r="D38" s="2" t="s">
        <v>5</v>
      </c>
    </row>
    <row r="39" spans="1:4" ht="16" x14ac:dyDescent="0.2">
      <c r="A39" s="1" t="s">
        <v>1463</v>
      </c>
      <c r="B39" s="2" t="s">
        <v>5</v>
      </c>
      <c r="C39" s="2" t="s">
        <v>5</v>
      </c>
      <c r="D39" s="2" t="s">
        <v>5</v>
      </c>
    </row>
    <row r="40" spans="1:4" ht="16" x14ac:dyDescent="0.2">
      <c r="A40" s="2" t="s">
        <v>1447</v>
      </c>
      <c r="B40" s="4">
        <v>6172</v>
      </c>
      <c r="C40" s="4">
        <v>4085</v>
      </c>
      <c r="D40" s="4">
        <v>4387</v>
      </c>
    </row>
    <row r="41" spans="1:4" ht="16" x14ac:dyDescent="0.2">
      <c r="A41" s="2" t="s">
        <v>1470</v>
      </c>
      <c r="B41" s="2" t="s">
        <v>5</v>
      </c>
      <c r="C41" s="2" t="s">
        <v>5</v>
      </c>
      <c r="D41" s="2" t="s">
        <v>5</v>
      </c>
    </row>
    <row r="42" spans="1:4" ht="16" x14ac:dyDescent="0.2">
      <c r="A42" s="1" t="s">
        <v>1463</v>
      </c>
      <c r="B42" s="2" t="s">
        <v>5</v>
      </c>
      <c r="C42" s="2" t="s">
        <v>5</v>
      </c>
      <c r="D42" s="2" t="s">
        <v>5</v>
      </c>
    </row>
    <row r="43" spans="1:4" ht="16" x14ac:dyDescent="0.2">
      <c r="A43" s="2" t="s">
        <v>1447</v>
      </c>
      <c r="B43" s="4">
        <v>4311</v>
      </c>
      <c r="C43" s="4">
        <v>2003</v>
      </c>
      <c r="D43" s="4">
        <v>1098</v>
      </c>
    </row>
    <row r="44" spans="1:4" ht="16" x14ac:dyDescent="0.2">
      <c r="A44" s="2" t="s">
        <v>1471</v>
      </c>
      <c r="B44" s="2" t="s">
        <v>5</v>
      </c>
      <c r="C44" s="2" t="s">
        <v>5</v>
      </c>
      <c r="D44" s="2" t="s">
        <v>5</v>
      </c>
    </row>
    <row r="45" spans="1:4" ht="16" x14ac:dyDescent="0.2">
      <c r="A45" s="1" t="s">
        <v>1463</v>
      </c>
      <c r="B45" s="2" t="s">
        <v>5</v>
      </c>
      <c r="C45" s="2" t="s">
        <v>5</v>
      </c>
      <c r="D45" s="2" t="s">
        <v>5</v>
      </c>
    </row>
    <row r="46" spans="1:4" ht="16" x14ac:dyDescent="0.2">
      <c r="A46" s="2" t="s">
        <v>1447</v>
      </c>
      <c r="B46" s="4">
        <v>2431</v>
      </c>
      <c r="C46" s="4">
        <v>3042</v>
      </c>
      <c r="D46" s="4">
        <v>1683</v>
      </c>
    </row>
    <row r="47" spans="1:4" ht="16" x14ac:dyDescent="0.2">
      <c r="A47" s="2" t="s">
        <v>1472</v>
      </c>
      <c r="B47" s="2" t="s">
        <v>5</v>
      </c>
      <c r="C47" s="2" t="s">
        <v>5</v>
      </c>
      <c r="D47" s="2" t="s">
        <v>5</v>
      </c>
    </row>
    <row r="48" spans="1:4" ht="16" x14ac:dyDescent="0.2">
      <c r="A48" s="1" t="s">
        <v>1463</v>
      </c>
      <c r="B48" s="2" t="s">
        <v>5</v>
      </c>
      <c r="C48" s="2" t="s">
        <v>5</v>
      </c>
      <c r="D48" s="2" t="s">
        <v>5</v>
      </c>
    </row>
    <row r="49" spans="1:4" ht="16" x14ac:dyDescent="0.2">
      <c r="A49" s="2" t="s">
        <v>1447</v>
      </c>
      <c r="B49" s="4">
        <v>19242</v>
      </c>
      <c r="C49" s="4">
        <v>13618</v>
      </c>
      <c r="D49" s="4">
        <v>9984</v>
      </c>
    </row>
    <row r="50" spans="1:4" ht="16" x14ac:dyDescent="0.2">
      <c r="A50" s="2" t="s">
        <v>1473</v>
      </c>
      <c r="B50" s="2" t="s">
        <v>5</v>
      </c>
      <c r="C50" s="2" t="s">
        <v>5</v>
      </c>
      <c r="D50" s="2" t="s">
        <v>5</v>
      </c>
    </row>
    <row r="51" spans="1:4" ht="16" x14ac:dyDescent="0.2">
      <c r="A51" s="1" t="s">
        <v>1463</v>
      </c>
      <c r="B51" s="2" t="s">
        <v>5</v>
      </c>
      <c r="C51" s="2" t="s">
        <v>5</v>
      </c>
      <c r="D51" s="2" t="s">
        <v>5</v>
      </c>
    </row>
    <row r="52" spans="1:4" ht="16" x14ac:dyDescent="0.2">
      <c r="A52" s="2" t="s">
        <v>1447</v>
      </c>
      <c r="B52" s="4">
        <v>14501</v>
      </c>
      <c r="C52" s="4">
        <v>12275</v>
      </c>
      <c r="D52" s="4">
        <v>9614</v>
      </c>
    </row>
    <row r="53" spans="1:4" ht="16" x14ac:dyDescent="0.2">
      <c r="A53" s="2" t="s">
        <v>604</v>
      </c>
      <c r="B53" s="2" t="s">
        <v>5</v>
      </c>
      <c r="C53" s="2" t="s">
        <v>5</v>
      </c>
      <c r="D53" s="2" t="s">
        <v>5</v>
      </c>
    </row>
    <row r="54" spans="1:4" ht="16" x14ac:dyDescent="0.2">
      <c r="A54" s="1" t="s">
        <v>1463</v>
      </c>
      <c r="B54" s="2" t="s">
        <v>5</v>
      </c>
      <c r="C54" s="2" t="s">
        <v>5</v>
      </c>
      <c r="D54" s="2" t="s">
        <v>5</v>
      </c>
    </row>
    <row r="55" spans="1:4" ht="16" x14ac:dyDescent="0.2">
      <c r="A55" s="2" t="s">
        <v>77</v>
      </c>
      <c r="B55" s="5">
        <v>24933</v>
      </c>
      <c r="C55" s="5">
        <v>23162</v>
      </c>
      <c r="D55" s="5">
        <v>26540</v>
      </c>
    </row>
    <row r="56" spans="1:4" ht="16" x14ac:dyDescent="0.2">
      <c r="A56" s="2" t="s">
        <v>1474</v>
      </c>
      <c r="B56" s="2" t="s">
        <v>5</v>
      </c>
      <c r="C56" s="2" t="s">
        <v>5</v>
      </c>
      <c r="D56" s="2" t="s">
        <v>5</v>
      </c>
    </row>
    <row r="57" spans="1:4" ht="16" x14ac:dyDescent="0.2">
      <c r="A57" s="1" t="s">
        <v>1463</v>
      </c>
      <c r="B57" s="2" t="s">
        <v>5</v>
      </c>
      <c r="C57" s="2" t="s">
        <v>5</v>
      </c>
      <c r="D57" s="2" t="s">
        <v>5</v>
      </c>
    </row>
    <row r="58" spans="1:4" ht="16" x14ac:dyDescent="0.2">
      <c r="A58" s="2" t="s">
        <v>1466</v>
      </c>
      <c r="B58" s="8">
        <v>0.91</v>
      </c>
      <c r="C58" s="8">
        <v>0.89</v>
      </c>
      <c r="D58" s="8">
        <v>0.89</v>
      </c>
    </row>
    <row r="59" spans="1:4" ht="16" x14ac:dyDescent="0.2">
      <c r="A59" s="2" t="s">
        <v>1475</v>
      </c>
      <c r="B59" s="2" t="s">
        <v>5</v>
      </c>
      <c r="C59" s="2" t="s">
        <v>5</v>
      </c>
      <c r="D59" s="2" t="s">
        <v>5</v>
      </c>
    </row>
    <row r="60" spans="1:4" ht="16" x14ac:dyDescent="0.2">
      <c r="A60" s="1" t="s">
        <v>1463</v>
      </c>
      <c r="B60" s="2" t="s">
        <v>5</v>
      </c>
      <c r="C60" s="2" t="s">
        <v>5</v>
      </c>
      <c r="D60" s="2" t="s">
        <v>5</v>
      </c>
    </row>
    <row r="61" spans="1:4" ht="16" x14ac:dyDescent="0.2">
      <c r="A61" s="2" t="s">
        <v>1466</v>
      </c>
      <c r="B61" s="8">
        <v>0.99</v>
      </c>
      <c r="C61" s="8">
        <v>0.99</v>
      </c>
      <c r="D61" s="8">
        <v>0.99</v>
      </c>
    </row>
    <row r="62" spans="1:4" ht="16" x14ac:dyDescent="0.2">
      <c r="A62" s="2" t="s">
        <v>1476</v>
      </c>
      <c r="B62" s="2" t="s">
        <v>5</v>
      </c>
      <c r="C62" s="2" t="s">
        <v>5</v>
      </c>
      <c r="D62" s="2" t="s">
        <v>5</v>
      </c>
    </row>
    <row r="63" spans="1:4" ht="16" x14ac:dyDescent="0.2">
      <c r="A63" s="1" t="s">
        <v>1463</v>
      </c>
      <c r="B63" s="2" t="s">
        <v>5</v>
      </c>
      <c r="C63" s="2" t="s">
        <v>5</v>
      </c>
      <c r="D63" s="2" t="s">
        <v>5</v>
      </c>
    </row>
    <row r="64" spans="1:4" ht="16" x14ac:dyDescent="0.2">
      <c r="A64" s="2" t="s">
        <v>1466</v>
      </c>
      <c r="B64" s="8">
        <v>0.57999999999999996</v>
      </c>
      <c r="C64" s="8">
        <v>0.6</v>
      </c>
      <c r="D64" s="8">
        <v>0.68</v>
      </c>
    </row>
    <row r="65" spans="1:4" ht="16" x14ac:dyDescent="0.2">
      <c r="A65" s="2" t="s">
        <v>1477</v>
      </c>
      <c r="B65" s="2" t="s">
        <v>5</v>
      </c>
      <c r="C65" s="2" t="s">
        <v>5</v>
      </c>
      <c r="D65" s="2" t="s">
        <v>5</v>
      </c>
    </row>
    <row r="66" spans="1:4" ht="16" x14ac:dyDescent="0.2">
      <c r="A66" s="1" t="s">
        <v>1463</v>
      </c>
      <c r="B66" s="2" t="s">
        <v>5</v>
      </c>
      <c r="C66" s="2" t="s">
        <v>5</v>
      </c>
      <c r="D66" s="2" t="s">
        <v>5</v>
      </c>
    </row>
    <row r="67" spans="1:4" ht="16" x14ac:dyDescent="0.2">
      <c r="A67" s="2" t="s">
        <v>1447</v>
      </c>
      <c r="B67" s="5">
        <v>4882</v>
      </c>
      <c r="C67" s="5">
        <v>6018</v>
      </c>
      <c r="D67" s="5">
        <v>6671</v>
      </c>
    </row>
    <row r="68" spans="1:4" ht="16" x14ac:dyDescent="0.2">
      <c r="A68" s="2" t="s">
        <v>1478</v>
      </c>
      <c r="B68" s="2" t="s">
        <v>5</v>
      </c>
      <c r="C68" s="2" t="s">
        <v>5</v>
      </c>
      <c r="D68" s="2" t="s">
        <v>5</v>
      </c>
    </row>
    <row r="69" spans="1:4" ht="16" x14ac:dyDescent="0.2">
      <c r="A69" s="1" t="s">
        <v>1463</v>
      </c>
      <c r="B69" s="2" t="s">
        <v>5</v>
      </c>
      <c r="C69" s="2" t="s">
        <v>5</v>
      </c>
      <c r="D69" s="2" t="s">
        <v>5</v>
      </c>
    </row>
    <row r="70" spans="1:4" ht="16" x14ac:dyDescent="0.2">
      <c r="A70" s="2" t="s">
        <v>1447</v>
      </c>
      <c r="B70" s="4">
        <v>20051</v>
      </c>
      <c r="C70" s="4">
        <v>17144</v>
      </c>
      <c r="D70" s="4">
        <v>19869</v>
      </c>
    </row>
    <row r="71" spans="1:4" ht="16" x14ac:dyDescent="0.2">
      <c r="A71" s="2" t="s">
        <v>605</v>
      </c>
      <c r="B71" s="2" t="s">
        <v>5</v>
      </c>
      <c r="C71" s="2" t="s">
        <v>5</v>
      </c>
      <c r="D71" s="2" t="s">
        <v>5</v>
      </c>
    </row>
    <row r="72" spans="1:4" ht="16" x14ac:dyDescent="0.2">
      <c r="A72" s="1" t="s">
        <v>1463</v>
      </c>
      <c r="B72" s="2" t="s">
        <v>5</v>
      </c>
      <c r="C72" s="2" t="s">
        <v>5</v>
      </c>
      <c r="D72" s="2" t="s">
        <v>5</v>
      </c>
    </row>
    <row r="73" spans="1:4" ht="16" x14ac:dyDescent="0.2">
      <c r="A73" s="2" t="s">
        <v>77</v>
      </c>
      <c r="B73" s="4">
        <v>19127</v>
      </c>
      <c r="C73" s="4">
        <v>17611</v>
      </c>
      <c r="D73" s="4">
        <v>16328</v>
      </c>
    </row>
    <row r="74" spans="1:4" ht="16" x14ac:dyDescent="0.2">
      <c r="A74" s="2" t="s">
        <v>1479</v>
      </c>
      <c r="B74" s="2" t="s">
        <v>5</v>
      </c>
      <c r="C74" s="2" t="s">
        <v>5</v>
      </c>
      <c r="D74" s="2" t="s">
        <v>5</v>
      </c>
    </row>
    <row r="75" spans="1:4" ht="16" x14ac:dyDescent="0.2">
      <c r="A75" s="1" t="s">
        <v>1463</v>
      </c>
      <c r="B75" s="2" t="s">
        <v>5</v>
      </c>
      <c r="C75" s="2" t="s">
        <v>5</v>
      </c>
      <c r="D75" s="2" t="s">
        <v>5</v>
      </c>
    </row>
    <row r="76" spans="1:4" ht="16" x14ac:dyDescent="0.2">
      <c r="A76" s="2" t="s">
        <v>1447</v>
      </c>
      <c r="B76" s="4">
        <v>11020</v>
      </c>
      <c r="C76" s="4">
        <v>9560</v>
      </c>
      <c r="D76" s="4">
        <v>7527</v>
      </c>
    </row>
    <row r="77" spans="1:4" ht="16" x14ac:dyDescent="0.2">
      <c r="A77" s="2" t="s">
        <v>1480</v>
      </c>
      <c r="B77" s="2" t="s">
        <v>5</v>
      </c>
      <c r="C77" s="2" t="s">
        <v>5</v>
      </c>
      <c r="D77" s="2" t="s">
        <v>5</v>
      </c>
    </row>
    <row r="78" spans="1:4" ht="16" x14ac:dyDescent="0.2">
      <c r="A78" s="1" t="s">
        <v>1463</v>
      </c>
      <c r="B78" s="2" t="s">
        <v>5</v>
      </c>
      <c r="C78" s="2" t="s">
        <v>5</v>
      </c>
      <c r="D78" s="2" t="s">
        <v>5</v>
      </c>
    </row>
    <row r="79" spans="1:4" ht="16" x14ac:dyDescent="0.2">
      <c r="A79" s="2" t="s">
        <v>1447</v>
      </c>
      <c r="B79" s="4">
        <v>7751</v>
      </c>
      <c r="C79" s="4">
        <v>7681</v>
      </c>
      <c r="D79" s="4">
        <v>8553</v>
      </c>
    </row>
    <row r="80" spans="1:4" ht="16" x14ac:dyDescent="0.2">
      <c r="A80" s="2" t="s">
        <v>1481</v>
      </c>
      <c r="B80" s="2" t="s">
        <v>5</v>
      </c>
      <c r="C80" s="2" t="s">
        <v>5</v>
      </c>
      <c r="D80" s="2" t="s">
        <v>5</v>
      </c>
    </row>
    <row r="81" spans="1:4" ht="16" x14ac:dyDescent="0.2">
      <c r="A81" s="1" t="s">
        <v>1463</v>
      </c>
      <c r="B81" s="2" t="s">
        <v>5</v>
      </c>
      <c r="C81" s="2" t="s">
        <v>5</v>
      </c>
      <c r="D81" s="2" t="s">
        <v>5</v>
      </c>
    </row>
    <row r="82" spans="1:4" ht="16" x14ac:dyDescent="0.2">
      <c r="A82" s="2" t="s">
        <v>1447</v>
      </c>
      <c r="B82" s="5">
        <v>18771</v>
      </c>
      <c r="C82" s="5">
        <v>17241</v>
      </c>
      <c r="D82" s="5">
        <v>16080</v>
      </c>
    </row>
    <row r="83" spans="1:4" ht="16" x14ac:dyDescent="0.2">
      <c r="A83" s="2" t="s">
        <v>1482</v>
      </c>
      <c r="B83" s="2" t="s">
        <v>5</v>
      </c>
      <c r="C83" s="2" t="s">
        <v>5</v>
      </c>
      <c r="D83" s="2" t="s">
        <v>5</v>
      </c>
    </row>
    <row r="84" spans="1:4" ht="16" x14ac:dyDescent="0.2">
      <c r="A84" s="1" t="s">
        <v>1463</v>
      </c>
      <c r="B84" s="2" t="s">
        <v>5</v>
      </c>
      <c r="C84" s="2" t="s">
        <v>5</v>
      </c>
      <c r="D84" s="2" t="s">
        <v>5</v>
      </c>
    </row>
    <row r="85" spans="1:4" ht="16" x14ac:dyDescent="0.2">
      <c r="A85" s="2" t="s">
        <v>1466</v>
      </c>
      <c r="B85" s="8">
        <v>0.3</v>
      </c>
      <c r="C85" s="8">
        <v>0.33</v>
      </c>
      <c r="D85" s="8">
        <v>0.4</v>
      </c>
    </row>
    <row r="86" spans="1:4" ht="16" x14ac:dyDescent="0.2">
      <c r="A86" s="2" t="s">
        <v>1483</v>
      </c>
      <c r="B86" s="2" t="s">
        <v>5</v>
      </c>
      <c r="C86" s="2" t="s">
        <v>5</v>
      </c>
      <c r="D86" s="2" t="s">
        <v>5</v>
      </c>
    </row>
    <row r="87" spans="1:4" ht="16" x14ac:dyDescent="0.2">
      <c r="A87" s="1" t="s">
        <v>1463</v>
      </c>
      <c r="B87" s="2" t="s">
        <v>5</v>
      </c>
      <c r="C87" s="2" t="s">
        <v>5</v>
      </c>
      <c r="D87" s="2" t="s">
        <v>5</v>
      </c>
    </row>
    <row r="88" spans="1:4" ht="16" x14ac:dyDescent="0.2">
      <c r="A88" s="2" t="s">
        <v>1466</v>
      </c>
      <c r="B88" s="8">
        <v>0.51</v>
      </c>
      <c r="C88" s="8">
        <v>0.5</v>
      </c>
      <c r="D88" s="8">
        <v>0.45</v>
      </c>
    </row>
    <row r="89" spans="1:4" ht="16" x14ac:dyDescent="0.2">
      <c r="A89" s="2" t="s">
        <v>1484</v>
      </c>
      <c r="B89" s="2" t="s">
        <v>5</v>
      </c>
      <c r="C89" s="2" t="s">
        <v>5</v>
      </c>
      <c r="D89" s="2" t="s">
        <v>5</v>
      </c>
    </row>
    <row r="90" spans="1:4" ht="16" x14ac:dyDescent="0.2">
      <c r="A90" s="1" t="s">
        <v>1463</v>
      </c>
      <c r="B90" s="2" t="s">
        <v>5</v>
      </c>
      <c r="C90" s="2" t="s">
        <v>5</v>
      </c>
      <c r="D90" s="2" t="s">
        <v>5</v>
      </c>
    </row>
    <row r="91" spans="1:4" ht="16" x14ac:dyDescent="0.2">
      <c r="A91" s="2" t="s">
        <v>1466</v>
      </c>
      <c r="B91" s="8">
        <v>0.87</v>
      </c>
      <c r="C91" s="8">
        <v>0.88</v>
      </c>
      <c r="D91" s="8">
        <v>0.86</v>
      </c>
    </row>
    <row r="92" spans="1:4" ht="16" x14ac:dyDescent="0.2">
      <c r="A92" s="2" t="s">
        <v>1485</v>
      </c>
      <c r="B92" s="2" t="s">
        <v>5</v>
      </c>
      <c r="C92" s="2" t="s">
        <v>5</v>
      </c>
      <c r="D92" s="2" t="s">
        <v>5</v>
      </c>
    </row>
    <row r="93" spans="1:4" ht="16" x14ac:dyDescent="0.2">
      <c r="A93" s="1" t="s">
        <v>1463</v>
      </c>
      <c r="B93" s="2" t="s">
        <v>5</v>
      </c>
      <c r="C93" s="2" t="s">
        <v>5</v>
      </c>
      <c r="D93" s="2" t="s">
        <v>5</v>
      </c>
    </row>
    <row r="94" spans="1:4" ht="16" x14ac:dyDescent="0.2">
      <c r="A94" s="2" t="s">
        <v>77</v>
      </c>
      <c r="B94" s="5">
        <v>131</v>
      </c>
      <c r="C94" s="5">
        <v>117</v>
      </c>
      <c r="D94" s="5">
        <v>102</v>
      </c>
    </row>
    <row r="95" spans="1:4" ht="16" x14ac:dyDescent="0.2">
      <c r="A95" s="2" t="s">
        <v>1486</v>
      </c>
      <c r="B95" s="2" t="s">
        <v>5</v>
      </c>
      <c r="C95" s="2" t="s">
        <v>5</v>
      </c>
      <c r="D95" s="2" t="s">
        <v>5</v>
      </c>
    </row>
    <row r="96" spans="1:4" ht="16" x14ac:dyDescent="0.2">
      <c r="A96" s="1" t="s">
        <v>1463</v>
      </c>
      <c r="B96" s="2" t="s">
        <v>5</v>
      </c>
      <c r="C96" s="2" t="s">
        <v>5</v>
      </c>
      <c r="D96" s="2" t="s">
        <v>5</v>
      </c>
    </row>
    <row r="97" spans="1:4" ht="16" x14ac:dyDescent="0.2">
      <c r="A97" s="2" t="s">
        <v>77</v>
      </c>
      <c r="B97" s="5">
        <v>356</v>
      </c>
      <c r="C97" s="5">
        <v>370</v>
      </c>
      <c r="D97" s="5">
        <v>248</v>
      </c>
    </row>
  </sheetData>
  <mergeCells count="2">
    <mergeCell ref="A1:A2"/>
    <mergeCell ref="B1:D1"/>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D14"/>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1487</v>
      </c>
      <c r="B1" s="61" t="s">
        <v>1</v>
      </c>
      <c r="C1" s="60"/>
      <c r="D1" s="60"/>
    </row>
    <row r="2" spans="1:4" ht="16" x14ac:dyDescent="0.2">
      <c r="A2" s="60"/>
      <c r="B2" s="12" t="s">
        <v>2</v>
      </c>
      <c r="C2" s="12" t="s">
        <v>75</v>
      </c>
      <c r="D2" s="12" t="s">
        <v>76</v>
      </c>
    </row>
    <row r="3" spans="1:4" ht="16" x14ac:dyDescent="0.2">
      <c r="A3" s="1" t="s">
        <v>600</v>
      </c>
      <c r="B3" s="2" t="s">
        <v>5</v>
      </c>
      <c r="C3" s="2" t="s">
        <v>5</v>
      </c>
      <c r="D3" s="2" t="s">
        <v>5</v>
      </c>
    </row>
    <row r="4" spans="1:4" ht="16" x14ac:dyDescent="0.2">
      <c r="A4" s="2" t="s">
        <v>1488</v>
      </c>
      <c r="B4" s="5">
        <v>-690</v>
      </c>
      <c r="C4" s="5">
        <v>-725</v>
      </c>
      <c r="D4" s="5">
        <v>-833</v>
      </c>
    </row>
    <row r="5" spans="1:4" ht="16" x14ac:dyDescent="0.2">
      <c r="A5" s="2" t="s">
        <v>1489</v>
      </c>
      <c r="B5" s="4">
        <v>-188</v>
      </c>
      <c r="C5" s="4">
        <v>117</v>
      </c>
      <c r="D5" s="4">
        <v>-126</v>
      </c>
    </row>
    <row r="6" spans="1:4" ht="16" x14ac:dyDescent="0.2">
      <c r="A6" s="2" t="s">
        <v>82</v>
      </c>
      <c r="B6" s="4">
        <v>-3377</v>
      </c>
      <c r="C6" s="4">
        <v>-2852</v>
      </c>
      <c r="D6" s="4">
        <v>-2249</v>
      </c>
    </row>
    <row r="7" spans="1:4" ht="16" x14ac:dyDescent="0.2">
      <c r="A7" s="2" t="s">
        <v>216</v>
      </c>
      <c r="B7" s="2" t="s">
        <v>5</v>
      </c>
      <c r="C7" s="2" t="s">
        <v>5</v>
      </c>
      <c r="D7" s="2" t="s">
        <v>5</v>
      </c>
    </row>
    <row r="8" spans="1:4" ht="16" x14ac:dyDescent="0.2">
      <c r="A8" s="1" t="s">
        <v>600</v>
      </c>
      <c r="B8" s="2" t="s">
        <v>5</v>
      </c>
      <c r="C8" s="2" t="s">
        <v>5</v>
      </c>
      <c r="D8" s="2" t="s">
        <v>5</v>
      </c>
    </row>
    <row r="9" spans="1:4" ht="16" x14ac:dyDescent="0.2">
      <c r="A9" s="2" t="s">
        <v>1488</v>
      </c>
      <c r="B9" s="4">
        <v>62</v>
      </c>
      <c r="C9" s="4">
        <v>-114</v>
      </c>
      <c r="D9" s="4">
        <v>-174</v>
      </c>
    </row>
    <row r="10" spans="1:4" ht="16" x14ac:dyDescent="0.2">
      <c r="A10" s="2" t="s">
        <v>1489</v>
      </c>
      <c r="B10" s="4">
        <v>-188</v>
      </c>
      <c r="C10" s="4">
        <v>117</v>
      </c>
      <c r="D10" s="4">
        <v>-126</v>
      </c>
    </row>
    <row r="11" spans="1:4" ht="16" x14ac:dyDescent="0.2">
      <c r="A11" s="2" t="s">
        <v>1490</v>
      </c>
      <c r="B11" s="4">
        <v>-95</v>
      </c>
      <c r="C11" s="4">
        <v>-95</v>
      </c>
      <c r="D11" s="4">
        <v>-107</v>
      </c>
    </row>
    <row r="12" spans="1:4" ht="16" x14ac:dyDescent="0.2">
      <c r="A12" s="2" t="s">
        <v>82</v>
      </c>
      <c r="B12" s="4">
        <v>-315</v>
      </c>
      <c r="C12" s="4">
        <v>-278</v>
      </c>
      <c r="D12" s="4">
        <v>-184</v>
      </c>
    </row>
    <row r="13" spans="1:4" ht="16" x14ac:dyDescent="0.2">
      <c r="A13" s="2" t="s">
        <v>1491</v>
      </c>
      <c r="B13" s="4">
        <v>-1223</v>
      </c>
      <c r="C13" s="4">
        <v>-1134</v>
      </c>
      <c r="D13" s="4">
        <v>-636</v>
      </c>
    </row>
    <row r="14" spans="1:4" ht="16" x14ac:dyDescent="0.2">
      <c r="A14" s="2" t="s">
        <v>606</v>
      </c>
      <c r="B14" s="5">
        <v>-1759</v>
      </c>
      <c r="C14" s="5">
        <v>-1504</v>
      </c>
      <c r="D14" s="5">
        <v>-1227</v>
      </c>
    </row>
  </sheetData>
  <mergeCells count="2">
    <mergeCell ref="A1:A2"/>
    <mergeCell ref="B1:D1"/>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D10"/>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1492</v>
      </c>
      <c r="B1" s="61" t="s">
        <v>1</v>
      </c>
      <c r="C1" s="60"/>
      <c r="D1" s="60"/>
    </row>
    <row r="2" spans="1:4" ht="16" x14ac:dyDescent="0.2">
      <c r="A2" s="60"/>
      <c r="B2" s="12" t="s">
        <v>2</v>
      </c>
      <c r="C2" s="12" t="s">
        <v>75</v>
      </c>
      <c r="D2" s="12" t="s">
        <v>76</v>
      </c>
    </row>
    <row r="3" spans="1:4" ht="16" x14ac:dyDescent="0.2">
      <c r="A3" s="1" t="s">
        <v>600</v>
      </c>
      <c r="B3" s="2" t="s">
        <v>5</v>
      </c>
      <c r="C3" s="2" t="s">
        <v>5</v>
      </c>
      <c r="D3" s="2" t="s">
        <v>5</v>
      </c>
    </row>
    <row r="4" spans="1:4" ht="16" x14ac:dyDescent="0.2">
      <c r="A4" s="2" t="s">
        <v>607</v>
      </c>
      <c r="B4" s="5">
        <v>1056</v>
      </c>
      <c r="C4" s="5">
        <v>1143</v>
      </c>
      <c r="D4" s="5">
        <v>1173</v>
      </c>
    </row>
    <row r="5" spans="1:4" ht="16" x14ac:dyDescent="0.2">
      <c r="A5" s="2" t="s">
        <v>1099</v>
      </c>
      <c r="B5" s="2" t="s">
        <v>5</v>
      </c>
      <c r="C5" s="2" t="s">
        <v>5</v>
      </c>
      <c r="D5" s="2" t="s">
        <v>5</v>
      </c>
    </row>
    <row r="6" spans="1:4" ht="16" x14ac:dyDescent="0.2">
      <c r="A6" s="1" t="s">
        <v>600</v>
      </c>
      <c r="B6" s="2" t="s">
        <v>5</v>
      </c>
      <c r="C6" s="2" t="s">
        <v>5</v>
      </c>
      <c r="D6" s="2" t="s">
        <v>5</v>
      </c>
    </row>
    <row r="7" spans="1:4" ht="16" x14ac:dyDescent="0.2">
      <c r="A7" s="2" t="s">
        <v>607</v>
      </c>
      <c r="B7" s="4">
        <v>799</v>
      </c>
      <c r="C7" s="4">
        <v>849</v>
      </c>
      <c r="D7" s="4">
        <v>882</v>
      </c>
    </row>
    <row r="8" spans="1:4" ht="16" x14ac:dyDescent="0.2">
      <c r="A8" s="2" t="s">
        <v>1108</v>
      </c>
      <c r="B8" s="2" t="s">
        <v>5</v>
      </c>
      <c r="C8" s="2" t="s">
        <v>5</v>
      </c>
      <c r="D8" s="2" t="s">
        <v>5</v>
      </c>
    </row>
    <row r="9" spans="1:4" ht="16" x14ac:dyDescent="0.2">
      <c r="A9" s="1" t="s">
        <v>600</v>
      </c>
      <c r="B9" s="2" t="s">
        <v>5</v>
      </c>
      <c r="C9" s="2" t="s">
        <v>5</v>
      </c>
      <c r="D9" s="2" t="s">
        <v>5</v>
      </c>
    </row>
    <row r="10" spans="1:4" ht="16" x14ac:dyDescent="0.2">
      <c r="A10" s="2" t="s">
        <v>607</v>
      </c>
      <c r="B10" s="5">
        <v>257</v>
      </c>
      <c r="C10" s="5">
        <v>294</v>
      </c>
      <c r="D10" s="5">
        <v>291</v>
      </c>
    </row>
  </sheetData>
  <mergeCells count="2">
    <mergeCell ref="A1:A2"/>
    <mergeCell ref="B1:D1"/>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15"/>
  <sheetViews>
    <sheetView workbookViewId="0"/>
  </sheetViews>
  <sheetFormatPr baseColWidth="10" defaultColWidth="8.83203125" defaultRowHeight="15" x14ac:dyDescent="0.2"/>
  <cols>
    <col min="1" max="1" width="80" customWidth="1"/>
    <col min="2" max="3" width="14" customWidth="1"/>
  </cols>
  <sheetData>
    <row r="1" spans="1:3" ht="32" x14ac:dyDescent="0.2">
      <c r="A1" s="11" t="s">
        <v>1493</v>
      </c>
      <c r="B1" s="12" t="s">
        <v>2</v>
      </c>
      <c r="C1" s="12" t="s">
        <v>75</v>
      </c>
    </row>
    <row r="2" spans="1:3" ht="16" x14ac:dyDescent="0.2">
      <c r="A2" s="1" t="s">
        <v>600</v>
      </c>
      <c r="B2" s="2" t="s">
        <v>5</v>
      </c>
      <c r="C2" s="2" t="s">
        <v>5</v>
      </c>
    </row>
    <row r="3" spans="1:3" ht="16" x14ac:dyDescent="0.2">
      <c r="A3" s="2" t="s">
        <v>139</v>
      </c>
      <c r="B3" s="5">
        <v>137012</v>
      </c>
      <c r="C3" s="5">
        <v>137100</v>
      </c>
    </row>
    <row r="4" spans="1:3" ht="16" x14ac:dyDescent="0.2">
      <c r="A4" s="2" t="s">
        <v>603</v>
      </c>
      <c r="B4" s="2" t="s">
        <v>5</v>
      </c>
      <c r="C4" s="2" t="s">
        <v>5</v>
      </c>
    </row>
    <row r="5" spans="1:3" ht="16" x14ac:dyDescent="0.2">
      <c r="A5" s="1" t="s">
        <v>600</v>
      </c>
      <c r="B5" s="2" t="s">
        <v>5</v>
      </c>
      <c r="C5" s="2" t="s">
        <v>5</v>
      </c>
    </row>
    <row r="6" spans="1:3" ht="16" x14ac:dyDescent="0.2">
      <c r="A6" s="2" t="s">
        <v>139</v>
      </c>
      <c r="B6" s="4">
        <v>77047</v>
      </c>
      <c r="C6" s="4">
        <v>76825</v>
      </c>
    </row>
    <row r="7" spans="1:3" ht="16" x14ac:dyDescent="0.2">
      <c r="A7" s="2" t="s">
        <v>604</v>
      </c>
      <c r="B7" s="2" t="s">
        <v>5</v>
      </c>
      <c r="C7" s="2" t="s">
        <v>5</v>
      </c>
    </row>
    <row r="8" spans="1:3" ht="16" x14ac:dyDescent="0.2">
      <c r="A8" s="1" t="s">
        <v>600</v>
      </c>
      <c r="B8" s="2" t="s">
        <v>5</v>
      </c>
      <c r="C8" s="2" t="s">
        <v>5</v>
      </c>
    </row>
    <row r="9" spans="1:3" ht="16" x14ac:dyDescent="0.2">
      <c r="A9" s="2" t="s">
        <v>139</v>
      </c>
      <c r="B9" s="4">
        <v>14921</v>
      </c>
      <c r="C9" s="4">
        <v>14426</v>
      </c>
    </row>
    <row r="10" spans="1:3" ht="16" x14ac:dyDescent="0.2">
      <c r="A10" s="2" t="s">
        <v>605</v>
      </c>
      <c r="B10" s="2" t="s">
        <v>5</v>
      </c>
      <c r="C10" s="2" t="s">
        <v>5</v>
      </c>
    </row>
    <row r="11" spans="1:3" ht="16" x14ac:dyDescent="0.2">
      <c r="A11" s="1" t="s">
        <v>600</v>
      </c>
      <c r="B11" s="2" t="s">
        <v>5</v>
      </c>
      <c r="C11" s="2" t="s">
        <v>5</v>
      </c>
    </row>
    <row r="12" spans="1:3" ht="16" x14ac:dyDescent="0.2">
      <c r="A12" s="2" t="s">
        <v>139</v>
      </c>
      <c r="B12" s="4">
        <v>16193</v>
      </c>
      <c r="C12" s="4">
        <v>16149</v>
      </c>
    </row>
    <row r="13" spans="1:3" ht="16" x14ac:dyDescent="0.2">
      <c r="A13" s="2" t="s">
        <v>216</v>
      </c>
      <c r="B13" s="2" t="s">
        <v>5</v>
      </c>
      <c r="C13" s="2" t="s">
        <v>5</v>
      </c>
    </row>
    <row r="14" spans="1:3" ht="16" x14ac:dyDescent="0.2">
      <c r="A14" s="1" t="s">
        <v>600</v>
      </c>
      <c r="B14" s="2" t="s">
        <v>5</v>
      </c>
      <c r="C14" s="2" t="s">
        <v>5</v>
      </c>
    </row>
    <row r="15" spans="1:3" ht="16" x14ac:dyDescent="0.2">
      <c r="A15" s="2" t="s">
        <v>139</v>
      </c>
      <c r="B15" s="5">
        <v>28851</v>
      </c>
      <c r="C15" s="5">
        <v>29700</v>
      </c>
    </row>
  </sheetData>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D16"/>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1494</v>
      </c>
      <c r="B1" s="61" t="s">
        <v>1</v>
      </c>
      <c r="C1" s="60"/>
      <c r="D1" s="60"/>
    </row>
    <row r="2" spans="1:4" ht="16" x14ac:dyDescent="0.2">
      <c r="A2" s="60"/>
      <c r="B2" s="12" t="s">
        <v>2</v>
      </c>
      <c r="C2" s="12" t="s">
        <v>75</v>
      </c>
      <c r="D2" s="12" t="s">
        <v>76</v>
      </c>
    </row>
    <row r="3" spans="1:4" ht="16" x14ac:dyDescent="0.2">
      <c r="A3" s="1" t="s">
        <v>600</v>
      </c>
      <c r="B3" s="2" t="s">
        <v>5</v>
      </c>
      <c r="C3" s="2" t="s">
        <v>5</v>
      </c>
      <c r="D3" s="2" t="s">
        <v>5</v>
      </c>
    </row>
    <row r="4" spans="1:4" ht="16" x14ac:dyDescent="0.2">
      <c r="A4" s="2" t="s">
        <v>1495</v>
      </c>
      <c r="B4" s="5">
        <v>1527</v>
      </c>
      <c r="C4" s="5">
        <v>1222</v>
      </c>
      <c r="D4" s="5">
        <v>980</v>
      </c>
    </row>
    <row r="5" spans="1:4" ht="16" x14ac:dyDescent="0.2">
      <c r="A5" s="2" t="s">
        <v>603</v>
      </c>
      <c r="B5" s="2" t="s">
        <v>5</v>
      </c>
      <c r="C5" s="2" t="s">
        <v>5</v>
      </c>
      <c r="D5" s="2" t="s">
        <v>5</v>
      </c>
    </row>
    <row r="6" spans="1:4" ht="16" x14ac:dyDescent="0.2">
      <c r="A6" s="1" t="s">
        <v>600</v>
      </c>
      <c r="B6" s="2" t="s">
        <v>5</v>
      </c>
      <c r="C6" s="2" t="s">
        <v>5</v>
      </c>
      <c r="D6" s="2" t="s">
        <v>5</v>
      </c>
    </row>
    <row r="7" spans="1:4" ht="16" x14ac:dyDescent="0.2">
      <c r="A7" s="2" t="s">
        <v>1495</v>
      </c>
      <c r="B7" s="4">
        <v>420</v>
      </c>
      <c r="C7" s="4">
        <v>218</v>
      </c>
      <c r="D7" s="4">
        <v>177</v>
      </c>
    </row>
    <row r="8" spans="1:4" ht="16" x14ac:dyDescent="0.2">
      <c r="A8" s="2" t="s">
        <v>604</v>
      </c>
      <c r="B8" s="2" t="s">
        <v>5</v>
      </c>
      <c r="C8" s="2" t="s">
        <v>5</v>
      </c>
      <c r="D8" s="2" t="s">
        <v>5</v>
      </c>
    </row>
    <row r="9" spans="1:4" ht="16" x14ac:dyDescent="0.2">
      <c r="A9" s="1" t="s">
        <v>600</v>
      </c>
      <c r="B9" s="2" t="s">
        <v>5</v>
      </c>
      <c r="C9" s="2" t="s">
        <v>5</v>
      </c>
      <c r="D9" s="2" t="s">
        <v>5</v>
      </c>
    </row>
    <row r="10" spans="1:4" ht="16" x14ac:dyDescent="0.2">
      <c r="A10" s="2" t="s">
        <v>1495</v>
      </c>
      <c r="B10" s="4">
        <v>192</v>
      </c>
      <c r="C10" s="4">
        <v>202</v>
      </c>
      <c r="D10" s="4">
        <v>199</v>
      </c>
    </row>
    <row r="11" spans="1:4" ht="16" x14ac:dyDescent="0.2">
      <c r="A11" s="2" t="s">
        <v>605</v>
      </c>
      <c r="B11" s="2" t="s">
        <v>5</v>
      </c>
      <c r="C11" s="2" t="s">
        <v>5</v>
      </c>
      <c r="D11" s="2" t="s">
        <v>5</v>
      </c>
    </row>
    <row r="12" spans="1:4" ht="16" x14ac:dyDescent="0.2">
      <c r="A12" s="1" t="s">
        <v>600</v>
      </c>
      <c r="B12" s="2" t="s">
        <v>5</v>
      </c>
      <c r="C12" s="2" t="s">
        <v>5</v>
      </c>
      <c r="D12" s="2" t="s">
        <v>5</v>
      </c>
    </row>
    <row r="13" spans="1:4" ht="16" x14ac:dyDescent="0.2">
      <c r="A13" s="2" t="s">
        <v>1495</v>
      </c>
      <c r="B13" s="4">
        <v>127</v>
      </c>
      <c r="C13" s="4">
        <v>130</v>
      </c>
      <c r="D13" s="4">
        <v>94</v>
      </c>
    </row>
    <row r="14" spans="1:4" ht="16" x14ac:dyDescent="0.2">
      <c r="A14" s="2" t="s">
        <v>216</v>
      </c>
      <c r="B14" s="2" t="s">
        <v>5</v>
      </c>
      <c r="C14" s="2" t="s">
        <v>5</v>
      </c>
      <c r="D14" s="2" t="s">
        <v>5</v>
      </c>
    </row>
    <row r="15" spans="1:4" ht="16" x14ac:dyDescent="0.2">
      <c r="A15" s="1" t="s">
        <v>600</v>
      </c>
      <c r="B15" s="2" t="s">
        <v>5</v>
      </c>
      <c r="C15" s="2" t="s">
        <v>5</v>
      </c>
      <c r="D15" s="2" t="s">
        <v>5</v>
      </c>
    </row>
    <row r="16" spans="1:4" ht="16" x14ac:dyDescent="0.2">
      <c r="A16" s="2" t="s">
        <v>1495</v>
      </c>
      <c r="B16" s="5">
        <v>788</v>
      </c>
      <c r="C16" s="5">
        <v>672</v>
      </c>
      <c r="D16" s="5">
        <v>510</v>
      </c>
    </row>
  </sheetData>
  <mergeCells count="2">
    <mergeCell ref="A1:A2"/>
    <mergeCell ref="B1:D1"/>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D22"/>
  <sheetViews>
    <sheetView workbookViewId="0"/>
  </sheetViews>
  <sheetFormatPr baseColWidth="10" defaultColWidth="8.83203125" defaultRowHeight="15" x14ac:dyDescent="0.2"/>
  <cols>
    <col min="1" max="1" width="80" customWidth="1"/>
    <col min="2" max="2" width="16" customWidth="1"/>
    <col min="3" max="4" width="14" customWidth="1"/>
  </cols>
  <sheetData>
    <row r="1" spans="1:4" x14ac:dyDescent="0.2">
      <c r="A1" s="59" t="s">
        <v>1496</v>
      </c>
      <c r="B1" s="61" t="s">
        <v>1</v>
      </c>
      <c r="C1" s="60"/>
      <c r="D1" s="60"/>
    </row>
    <row r="2" spans="1:4" ht="16" x14ac:dyDescent="0.2">
      <c r="A2" s="60"/>
      <c r="B2" s="12" t="s">
        <v>2</v>
      </c>
      <c r="C2" s="12" t="s">
        <v>75</v>
      </c>
      <c r="D2" s="12" t="s">
        <v>76</v>
      </c>
    </row>
    <row r="3" spans="1:4" ht="16" x14ac:dyDescent="0.2">
      <c r="A3" s="1" t="s">
        <v>600</v>
      </c>
      <c r="B3" s="2" t="s">
        <v>5</v>
      </c>
      <c r="C3" s="2" t="s">
        <v>5</v>
      </c>
      <c r="D3" s="2" t="s">
        <v>5</v>
      </c>
    </row>
    <row r="4" spans="1:4" ht="16" x14ac:dyDescent="0.2">
      <c r="A4" s="2" t="s">
        <v>206</v>
      </c>
      <c r="B4" s="5">
        <v>1861</v>
      </c>
      <c r="C4" s="5">
        <v>1979</v>
      </c>
      <c r="D4" s="5">
        <v>2144</v>
      </c>
    </row>
    <row r="5" spans="1:4" ht="16" x14ac:dyDescent="0.2">
      <c r="A5" s="2" t="s">
        <v>603</v>
      </c>
      <c r="B5" s="2" t="s">
        <v>5</v>
      </c>
      <c r="C5" s="2" t="s">
        <v>5</v>
      </c>
      <c r="D5" s="2" t="s">
        <v>5</v>
      </c>
    </row>
    <row r="6" spans="1:4" ht="16" x14ac:dyDescent="0.2">
      <c r="A6" s="1" t="s">
        <v>600</v>
      </c>
      <c r="B6" s="2" t="s">
        <v>5</v>
      </c>
      <c r="C6" s="2" t="s">
        <v>5</v>
      </c>
      <c r="D6" s="2" t="s">
        <v>5</v>
      </c>
    </row>
    <row r="7" spans="1:4" ht="16" x14ac:dyDescent="0.2">
      <c r="A7" s="2" t="s">
        <v>206</v>
      </c>
      <c r="B7" s="4">
        <v>464</v>
      </c>
      <c r="C7" s="4">
        <v>554</v>
      </c>
      <c r="D7" s="4">
        <v>594</v>
      </c>
    </row>
    <row r="8" spans="1:4" ht="16" x14ac:dyDescent="0.2">
      <c r="A8" s="2" t="s">
        <v>1497</v>
      </c>
      <c r="B8" s="4">
        <v>311</v>
      </c>
      <c r="C8" s="4">
        <v>361</v>
      </c>
      <c r="D8" s="4">
        <v>387</v>
      </c>
    </row>
    <row r="9" spans="1:4" ht="16" x14ac:dyDescent="0.2">
      <c r="A9" s="2" t="s">
        <v>604</v>
      </c>
      <c r="B9" s="2" t="s">
        <v>5</v>
      </c>
      <c r="C9" s="2" t="s">
        <v>5</v>
      </c>
      <c r="D9" s="2" t="s">
        <v>5</v>
      </c>
    </row>
    <row r="10" spans="1:4" ht="16" x14ac:dyDescent="0.2">
      <c r="A10" s="1" t="s">
        <v>600</v>
      </c>
      <c r="B10" s="2" t="s">
        <v>5</v>
      </c>
      <c r="C10" s="2" t="s">
        <v>5</v>
      </c>
      <c r="D10" s="2" t="s">
        <v>5</v>
      </c>
    </row>
    <row r="11" spans="1:4" ht="16" x14ac:dyDescent="0.2">
      <c r="A11" s="2" t="s">
        <v>206</v>
      </c>
      <c r="B11" s="4">
        <v>219</v>
      </c>
      <c r="C11" s="4">
        <v>238</v>
      </c>
      <c r="D11" s="4">
        <v>233</v>
      </c>
    </row>
    <row r="12" spans="1:4" ht="16" x14ac:dyDescent="0.2">
      <c r="A12" s="2" t="s">
        <v>1497</v>
      </c>
      <c r="B12" s="4">
        <v>264</v>
      </c>
      <c r="C12" s="4">
        <v>230</v>
      </c>
      <c r="D12" s="4">
        <v>222</v>
      </c>
    </row>
    <row r="13" spans="1:4" ht="16" x14ac:dyDescent="0.2">
      <c r="A13" s="2" t="s">
        <v>605</v>
      </c>
      <c r="B13" s="2" t="s">
        <v>5</v>
      </c>
      <c r="C13" s="2" t="s">
        <v>5</v>
      </c>
      <c r="D13" s="2" t="s">
        <v>5</v>
      </c>
    </row>
    <row r="14" spans="1:4" ht="16" x14ac:dyDescent="0.2">
      <c r="A14" s="1" t="s">
        <v>600</v>
      </c>
      <c r="B14" s="2" t="s">
        <v>5</v>
      </c>
      <c r="C14" s="2" t="s">
        <v>5</v>
      </c>
      <c r="D14" s="2" t="s">
        <v>5</v>
      </c>
    </row>
    <row r="15" spans="1:4" ht="16" x14ac:dyDescent="0.2">
      <c r="A15" s="2" t="s">
        <v>206</v>
      </c>
      <c r="B15" s="4">
        <v>320</v>
      </c>
      <c r="C15" s="4">
        <v>346</v>
      </c>
      <c r="D15" s="4">
        <v>414</v>
      </c>
    </row>
    <row r="16" spans="1:4" ht="16" x14ac:dyDescent="0.2">
      <c r="A16" s="2" t="s">
        <v>1497</v>
      </c>
      <c r="B16" s="4">
        <v>75</v>
      </c>
      <c r="C16" s="4">
        <v>53</v>
      </c>
      <c r="D16" s="4">
        <v>60</v>
      </c>
    </row>
    <row r="17" spans="1:4" ht="16" x14ac:dyDescent="0.2">
      <c r="A17" s="2" t="s">
        <v>216</v>
      </c>
      <c r="B17" s="2" t="s">
        <v>5</v>
      </c>
      <c r="C17" s="2" t="s">
        <v>5</v>
      </c>
      <c r="D17" s="2" t="s">
        <v>5</v>
      </c>
    </row>
    <row r="18" spans="1:4" ht="16" x14ac:dyDescent="0.2">
      <c r="A18" s="1" t="s">
        <v>600</v>
      </c>
      <c r="B18" s="2" t="s">
        <v>5</v>
      </c>
      <c r="C18" s="2" t="s">
        <v>5</v>
      </c>
      <c r="D18" s="2" t="s">
        <v>5</v>
      </c>
    </row>
    <row r="19" spans="1:4" ht="16" x14ac:dyDescent="0.2">
      <c r="A19" s="2" t="s">
        <v>206</v>
      </c>
      <c r="B19" s="4">
        <v>858</v>
      </c>
      <c r="C19" s="4">
        <v>841</v>
      </c>
      <c r="D19" s="4">
        <v>903</v>
      </c>
    </row>
    <row r="20" spans="1:4" ht="16" x14ac:dyDescent="0.2">
      <c r="A20" s="2" t="s">
        <v>1498</v>
      </c>
      <c r="B20" s="2" t="s">
        <v>5</v>
      </c>
      <c r="C20" s="2" t="s">
        <v>5</v>
      </c>
      <c r="D20" s="2" t="s">
        <v>5</v>
      </c>
    </row>
    <row r="21" spans="1:4" ht="16" x14ac:dyDescent="0.2">
      <c r="A21" s="1" t="s">
        <v>600</v>
      </c>
      <c r="B21" s="2" t="s">
        <v>5</v>
      </c>
      <c r="C21" s="2" t="s">
        <v>5</v>
      </c>
      <c r="D21" s="2" t="s">
        <v>5</v>
      </c>
    </row>
    <row r="22" spans="1:4" ht="16" x14ac:dyDescent="0.2">
      <c r="A22" s="2" t="s">
        <v>1497</v>
      </c>
      <c r="B22" s="5">
        <v>650</v>
      </c>
      <c r="C22" s="5">
        <v>644</v>
      </c>
      <c r="D22" s="5">
        <v>669</v>
      </c>
    </row>
  </sheetData>
  <mergeCells count="2">
    <mergeCell ref="A1:A2"/>
    <mergeCell ref="B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148</vt:i4>
      </vt:variant>
    </vt:vector>
  </HeadingPairs>
  <TitlesOfParts>
    <vt:vector size="148" baseType="lpstr">
      <vt:lpstr>Cover</vt:lpstr>
      <vt:lpstr>Audit Information</vt:lpstr>
      <vt:lpstr>Consolidated Statements of Oper</vt:lpstr>
      <vt:lpstr> Module 11</vt:lpstr>
      <vt:lpstr>Consolidated Statements of Comp</vt:lpstr>
      <vt:lpstr>Consolidated Statements of Co_2</vt:lpstr>
      <vt:lpstr>module 4</vt:lpstr>
      <vt:lpstr>Credit Ratings</vt:lpstr>
      <vt:lpstr>module 3 answers</vt:lpstr>
      <vt:lpstr>Module 6 answers</vt:lpstr>
      <vt:lpstr>module 15</vt:lpstr>
      <vt:lpstr>Consolidated Statements of Fina</vt:lpstr>
      <vt:lpstr>Consolidated Statements of Fi_2</vt:lpstr>
      <vt:lpstr>Consolidated Statements of Cash</vt:lpstr>
      <vt:lpstr>Consolidated Statements of Equi</vt:lpstr>
      <vt:lpstr>Consolidated Statements of Eq_2</vt:lpstr>
      <vt:lpstr>Summary of Business Segment Dat</vt:lpstr>
      <vt:lpstr>Summary of Significant Accounti</vt:lpstr>
      <vt:lpstr>Goodwill and Acquired Intangibl</vt:lpstr>
      <vt:lpstr>Earnings Per Share</vt:lpstr>
      <vt:lpstr>Income Taxes</vt:lpstr>
      <vt:lpstr>Accounts Receivable, net</vt:lpstr>
      <vt:lpstr>Allowance for Losses on Financi</vt:lpstr>
      <vt:lpstr>Inventories</vt:lpstr>
      <vt:lpstr>Contracts with Customers</vt:lpstr>
      <vt:lpstr>Customer Financing</vt:lpstr>
      <vt:lpstr>Property, Plant and Equipment</vt:lpstr>
      <vt:lpstr>Investments</vt:lpstr>
      <vt:lpstr>Leases</vt:lpstr>
      <vt:lpstr>Liabilities, Commitments and Co</vt:lpstr>
      <vt:lpstr>Arrangements with Off-Balance S</vt:lpstr>
      <vt:lpstr>Debt</vt:lpstr>
      <vt:lpstr>Postretirement Plans</vt:lpstr>
      <vt:lpstr>Share-Based Compensation and Ot</vt:lpstr>
      <vt:lpstr>Shareholders' Equity</vt:lpstr>
      <vt:lpstr>Derivative Financial Instrument</vt:lpstr>
      <vt:lpstr>Fair Value Measurements</vt:lpstr>
      <vt:lpstr>Legal Proceedings</vt:lpstr>
      <vt:lpstr>Segment and Revenue Information</vt:lpstr>
      <vt:lpstr>Subsequent Events</vt:lpstr>
      <vt:lpstr>Pay vs Performance Disclosure</vt:lpstr>
      <vt:lpstr>Insider Trading Arrangements</vt:lpstr>
      <vt:lpstr>Summary of Significant Accoun_2</vt:lpstr>
      <vt:lpstr>Summary of Business Segment D_2</vt:lpstr>
      <vt:lpstr>Summary of Significant Accoun_3</vt:lpstr>
      <vt:lpstr>Goodwill and Acquired Intangi_2</vt:lpstr>
      <vt:lpstr>Earnings Per Share (Tables)</vt:lpstr>
      <vt:lpstr>Income Taxes (Tables)</vt:lpstr>
      <vt:lpstr>Accounts Receivable, net (Table</vt:lpstr>
      <vt:lpstr>Allowance for Losses on Finan_2</vt:lpstr>
      <vt:lpstr>Inventories (Tables)</vt:lpstr>
      <vt:lpstr>Contracts with Customers (Table</vt:lpstr>
      <vt:lpstr>Financing Receivables and Opera</vt:lpstr>
      <vt:lpstr>Property, Plant and Equipment (</vt:lpstr>
      <vt:lpstr>Investments (Tables)</vt:lpstr>
      <vt:lpstr>Leases (Tables)</vt:lpstr>
      <vt:lpstr>Liabilities, Commitments and _2</vt:lpstr>
      <vt:lpstr>Arrangements with Off-Balance_2</vt:lpstr>
      <vt:lpstr>Debt (Tables)</vt:lpstr>
      <vt:lpstr>Postretirement Plans (Tables)</vt:lpstr>
      <vt:lpstr>Share-Based Compensation and _2</vt:lpstr>
      <vt:lpstr>Shareholders' Equity (Tables)</vt:lpstr>
      <vt:lpstr>Derivative Financial Instrume_2</vt:lpstr>
      <vt:lpstr>Fair Value Measurements (Tables</vt:lpstr>
      <vt:lpstr>Segment and Revenue Informati_2</vt:lpstr>
      <vt:lpstr>Summary of Business Segment D_3</vt:lpstr>
      <vt:lpstr>Summary of Significant Accoun_4</vt:lpstr>
      <vt:lpstr>Summary of Significant Accoun_5</vt:lpstr>
      <vt:lpstr>Goodwill and Acquired Intangi_3</vt:lpstr>
      <vt:lpstr>Goodwill and Acquired Intangi_4</vt:lpstr>
      <vt:lpstr>Goodwill and Acquired Intangi_5</vt:lpstr>
      <vt:lpstr>Goodwill and Acquired Intangi_6</vt:lpstr>
      <vt:lpstr>Earnings Per Share - Schedule o</vt:lpstr>
      <vt:lpstr>Earnings Per Share - Schedule_2</vt:lpstr>
      <vt:lpstr>Earnings Per Share - Narrative </vt:lpstr>
      <vt:lpstr>Income Taxes - Components of Ea</vt:lpstr>
      <vt:lpstr>Income Taxes - Schedule of Inco</vt:lpstr>
      <vt:lpstr>Income Taxes - Narrative (Detai</vt:lpstr>
      <vt:lpstr>Income Taxes - Schedule of Effe</vt:lpstr>
      <vt:lpstr>Income Taxes - Significant Comp</vt:lpstr>
      <vt:lpstr>Income Taxes - Net Deferred Tax</vt:lpstr>
      <vt:lpstr>Income Taxes - Schedule of Unre</vt:lpstr>
      <vt:lpstr>Accounts Receivable, net - Sche</vt:lpstr>
      <vt:lpstr>Allowance for Losses on Finan_3</vt:lpstr>
      <vt:lpstr>Inventories - Schedule of Inven</vt:lpstr>
      <vt:lpstr>Inventories - Narrative (Detail</vt:lpstr>
      <vt:lpstr>Contracts with Customers - Narr</vt:lpstr>
      <vt:lpstr>Contracts with Customers - Sche</vt:lpstr>
      <vt:lpstr>Financing Receivables and Ope_2</vt:lpstr>
      <vt:lpstr>Financing Receivables and Ope_3</vt:lpstr>
      <vt:lpstr>Financing Receivables and Ope_4</vt:lpstr>
      <vt:lpstr>Financing Receivables and Ope_5</vt:lpstr>
      <vt:lpstr>Financing Receivables and Ope_6</vt:lpstr>
      <vt:lpstr>Financing Receivables and Ope_7</vt:lpstr>
      <vt:lpstr>Property, Plant and Equipment -</vt:lpstr>
      <vt:lpstr>Property, Plant and Equipment_2</vt:lpstr>
      <vt:lpstr>Investments - Schedule of Inves</vt:lpstr>
      <vt:lpstr>Investments - Narrative (Detail</vt:lpstr>
      <vt:lpstr>Investments - Schedule of Equit</vt:lpstr>
      <vt:lpstr>Leases - Narrative (Details)</vt:lpstr>
      <vt:lpstr>Leases - Schedule of Supplement</vt:lpstr>
      <vt:lpstr>Leases - Schedule of Maturities</vt:lpstr>
      <vt:lpstr>Liabilities, Commitments and _3</vt:lpstr>
      <vt:lpstr>Liabilities, Commitments and _4</vt:lpstr>
      <vt:lpstr>Liabilities, Commitments, and C</vt:lpstr>
      <vt:lpstr>Liabilities, Commitments and _5</vt:lpstr>
      <vt:lpstr>Liabilities, Commitments and _6</vt:lpstr>
      <vt:lpstr>Liabilities, Commitments and _7</vt:lpstr>
      <vt:lpstr>Arrangements with Off-Balance_3</vt:lpstr>
      <vt:lpstr>Debt - Narrative (Details)</vt:lpstr>
      <vt:lpstr>Debt - Schedule of Short-Term D</vt:lpstr>
      <vt:lpstr>Debt - Schedule of Debt (Detail</vt:lpstr>
      <vt:lpstr>Debt - Scheduled Principal Paym</vt:lpstr>
      <vt:lpstr>Postretirement Plans - Componen</vt:lpstr>
      <vt:lpstr>Postretirement Plans - Schedule</vt:lpstr>
      <vt:lpstr>Postretirement Plans - Schedu_2</vt:lpstr>
      <vt:lpstr>Postretirement Plans - Narrativ</vt:lpstr>
      <vt:lpstr>Postretirement Plans - Schedu_3</vt:lpstr>
      <vt:lpstr>Postretirement Plans - Schedu_4</vt:lpstr>
      <vt:lpstr>Postretirement Plans - Schedu_5</vt:lpstr>
      <vt:lpstr>Postretirement Plans - Schedu_6</vt:lpstr>
      <vt:lpstr>Postretirement Plans - Schedu_7</vt:lpstr>
      <vt:lpstr>Postretirement Plans - Schedu_8</vt:lpstr>
      <vt:lpstr>Postretirement Plans - Schedu_9</vt:lpstr>
      <vt:lpstr>Share-Based Compensation and _3</vt:lpstr>
      <vt:lpstr>Share-Based Compensation and _4</vt:lpstr>
      <vt:lpstr>Share-Based Compensation and _5</vt:lpstr>
      <vt:lpstr>Share-Based Compensation and _6</vt:lpstr>
      <vt:lpstr>Share-Based Compensation and _7</vt:lpstr>
      <vt:lpstr>Shareholders' Equity - Narrativ</vt:lpstr>
      <vt:lpstr>Shareholders' Equity - Schedule</vt:lpstr>
      <vt:lpstr>Shareholders' Equity - Schedu_2</vt:lpstr>
      <vt:lpstr>Derivative Financial Instrume_3</vt:lpstr>
      <vt:lpstr>Derivative Financial Instrume_4</vt:lpstr>
      <vt:lpstr>Derivative Financial Instrume_5</vt:lpstr>
      <vt:lpstr>Derivative Financial Instrume_6</vt:lpstr>
      <vt:lpstr>Fair Value Measurements - Fair </vt:lpstr>
      <vt:lpstr>Fair Value Measurements - Fai_2</vt:lpstr>
      <vt:lpstr>Fair Value Measurements - Fai_3</vt:lpstr>
      <vt:lpstr>Legal Proceedings - Narrative (</vt:lpstr>
      <vt:lpstr>Segment and Revenue Informati_3</vt:lpstr>
      <vt:lpstr>Segment and Revenue Informati_4</vt:lpstr>
      <vt:lpstr>Segment and Revenue Informati_5</vt:lpstr>
      <vt:lpstr>Segment and Revenue Informati_6</vt:lpstr>
      <vt:lpstr>Segment and Revenue Informati_7</vt:lpstr>
      <vt:lpstr>Segment and Revenue Informati_8</vt:lpstr>
      <vt:lpstr>Segment and Revenue Informati_9</vt:lpstr>
      <vt:lpstr>Segment and Revenue Informat_10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Jacob Currier</cp:lastModifiedBy>
  <cp:revision/>
  <dcterms:created xsi:type="dcterms:W3CDTF">2024-01-31T17:44:39Z</dcterms:created>
  <dcterms:modified xsi:type="dcterms:W3CDTF">2025-05-01T19:17:37Z</dcterms:modified>
  <cp:category/>
  <cp:contentStatus/>
</cp:coreProperties>
</file>